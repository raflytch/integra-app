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ngkasan" sheetId="1" state="visible" r:id="rId1"/>
    <sheet name="Fitur" sheetId="2" state="visible" r:id="rId2"/>
    <sheet name="PRD Fitur" sheetId="3" state="visible" r:id="rId3"/>
    <sheet name="Task" sheetId="4" state="visible" r:id="rId4"/>
  </sheets>
  <definedNames>
    <definedName name="_xlnm._FilterDatabase" localSheetId="3" hidden="1">'Task'!$A$1:$L$46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i val="1"/>
      <color rgb="006B665C"/>
      <sz val="9"/>
    </font>
    <font>
      <name val="Arial"/>
      <b val="1"/>
    </font>
    <font>
      <name val="Arial"/>
      <b val="1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F6FB5"/>
      </patternFill>
    </fill>
    <fill>
      <patternFill patternType="solid">
        <fgColor rgb="00FFF2CC"/>
      </patternFill>
    </fill>
    <fill>
      <patternFill patternType="solid">
        <fgColor rgb="00F3F0E9"/>
      </patternFill>
    </fill>
  </fills>
  <borders count="2">
    <border>
      <left/>
      <right/>
      <top/>
      <bottom/>
      <diagonal/>
    </border>
    <border>
      <left style="thin">
        <color rgb="00D5D0C4"/>
      </left>
      <right style="thin">
        <color rgb="00D5D0C4"/>
      </right>
      <top style="thin">
        <color rgb="00D5D0C4"/>
      </top>
      <bottom style="thin">
        <color rgb="00D5D0C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zoomScale="100" workbookViewId="0">
      <selection activeCell="A1" sqref="A1"/>
    </sheetView>
  </sheetViews>
  <sheetFormatPr baseColWidth="8" defaultRowHeight="15"/>
  <cols>
    <col width="20" customWidth="1" min="1" max="1"/>
    <col width="38" customWidth="1" min="2" max="2"/>
    <col width="11" customWidth="1" min="3" max="3"/>
    <col width="13" customWidth="1" min="4" max="4"/>
    <col width="15" customWidth="1" min="5" max="5"/>
    <col width="13" customWidth="1" min="6" max="6"/>
    <col width="11" customWidth="1" min="7" max="7"/>
  </cols>
  <sheetData>
    <row r="1">
      <c r="A1" s="1" t="inlineStr">
        <is>
          <t>INTEGRA MVP — Pembagian Task per Fitur</t>
        </is>
      </c>
    </row>
    <row r="2">
      <c r="A2" s="2" t="inlineStr">
        <is>
          <t>Sumber: PRD INTEGRA (Oct 1, 2026) dan ERD INTEGRA MVP revisi. Estimasi jam adalah perkiraan awal tim, silakan disesuaikan.</t>
        </is>
      </c>
    </row>
    <row r="4">
      <c r="A4" s="3" t="inlineStr">
        <is>
          <t>Cara pakai</t>
        </is>
      </c>
    </row>
    <row r="5">
      <c r="A5" s="4" t="inlineStr">
        <is>
          <t>Sel kuning</t>
        </is>
      </c>
      <c r="B5" s="5" t="inlineStr">
        <is>
          <t>Isi di sheet Task: kolom PIC (nama anggota) dan Status (pilih dari dropdown).</t>
        </is>
      </c>
    </row>
    <row r="6">
      <c r="A6" s="6" t="inlineStr">
        <is>
          <t>Angka biru</t>
        </is>
      </c>
      <c r="B6" s="5" t="inlineStr">
        <is>
          <t>Estimasi jam, input manual yang boleh diubah.</t>
        </is>
      </c>
    </row>
    <row r="7">
      <c r="A7" s="7" t="inlineStr">
        <is>
          <t>Teks hitam</t>
        </is>
      </c>
      <c r="B7" s="5" t="inlineStr">
        <is>
          <t>Formula otomatis (nama fitur, prioritas, rekap). Jangan diisi manual.</t>
        </is>
      </c>
    </row>
    <row r="8">
      <c r="A8" s="7" t="inlineStr">
        <is>
          <t>Baris hijau / merah</t>
        </is>
      </c>
      <c r="B8" s="5" t="inlineStr">
        <is>
          <t>Task berstatus Selesai / Terblokir.</t>
        </is>
      </c>
    </row>
    <row r="10">
      <c r="A10" s="3" t="inlineStr">
        <is>
          <t>Rekap per fitur</t>
        </is>
      </c>
    </row>
    <row r="11">
      <c r="A11" s="8" t="inlineStr">
        <is>
          <t>ID</t>
        </is>
      </c>
      <c r="B11" s="8" t="inlineStr">
        <is>
          <t>Fitur</t>
        </is>
      </c>
      <c r="C11" s="8" t="inlineStr">
        <is>
          <t>Prioritas</t>
        </is>
      </c>
      <c r="D11" s="8" t="inlineStr">
        <is>
          <t>Jumlah task</t>
        </is>
      </c>
      <c r="E11" s="8" t="inlineStr">
        <is>
          <t>Estimasi (jam)</t>
        </is>
      </c>
      <c r="F11" s="8" t="inlineStr">
        <is>
          <t>Task selesai</t>
        </is>
      </c>
      <c r="G11" s="8" t="inlineStr">
        <is>
          <t>Progres</t>
        </is>
      </c>
    </row>
    <row r="12">
      <c r="A12" s="9" t="inlineStr">
        <is>
          <t>F00</t>
        </is>
      </c>
      <c r="B12" s="10">
        <f>INDEX(Fitur!$B$2:$B$17,MATCH(A12,Fitur!$A$2:$A$17,0))</f>
        <v/>
      </c>
      <c r="C12" s="9">
        <f>INDEX(Fitur!$C$2:$C$17,MATCH(A12,Fitur!$A$2:$A$17,0))</f>
        <v/>
      </c>
      <c r="D12" s="9">
        <f>COUNTIF(Task!$B$2:$B$46,A12)</f>
        <v/>
      </c>
      <c r="E12" s="9">
        <f>SUMIF(Task!$B$2:$B$46,A12,Task!$I$2:$I$46)</f>
        <v/>
      </c>
      <c r="F12" s="9">
        <f>COUNTIFS(Task!$B$2:$B$46,A12,Task!$L$2:$L$46,"Selesai")</f>
        <v/>
      </c>
      <c r="G12" s="11">
        <f>IF(D12=0,"-",F12/D12)</f>
        <v/>
      </c>
    </row>
    <row r="13">
      <c r="A13" s="9" t="inlineStr">
        <is>
          <t>F01</t>
        </is>
      </c>
      <c r="B13" s="10">
        <f>INDEX(Fitur!$B$2:$B$17,MATCH(A13,Fitur!$A$2:$A$17,0))</f>
        <v/>
      </c>
      <c r="C13" s="9">
        <f>INDEX(Fitur!$C$2:$C$17,MATCH(A13,Fitur!$A$2:$A$17,0))</f>
        <v/>
      </c>
      <c r="D13" s="9">
        <f>COUNTIF(Task!$B$2:$B$46,A13)</f>
        <v/>
      </c>
      <c r="E13" s="9">
        <f>SUMIF(Task!$B$2:$B$46,A13,Task!$I$2:$I$46)</f>
        <v/>
      </c>
      <c r="F13" s="9">
        <f>COUNTIFS(Task!$B$2:$B$46,A13,Task!$L$2:$L$46,"Selesai")</f>
        <v/>
      </c>
      <c r="G13" s="11">
        <f>IF(D13=0,"-",F13/D13)</f>
        <v/>
      </c>
    </row>
    <row r="14">
      <c r="A14" s="9" t="inlineStr">
        <is>
          <t>F02</t>
        </is>
      </c>
      <c r="B14" s="10">
        <f>INDEX(Fitur!$B$2:$B$17,MATCH(A14,Fitur!$A$2:$A$17,0))</f>
        <v/>
      </c>
      <c r="C14" s="9">
        <f>INDEX(Fitur!$C$2:$C$17,MATCH(A14,Fitur!$A$2:$A$17,0))</f>
        <v/>
      </c>
      <c r="D14" s="9">
        <f>COUNTIF(Task!$B$2:$B$46,A14)</f>
        <v/>
      </c>
      <c r="E14" s="9">
        <f>SUMIF(Task!$B$2:$B$46,A14,Task!$I$2:$I$46)</f>
        <v/>
      </c>
      <c r="F14" s="9">
        <f>COUNTIFS(Task!$B$2:$B$46,A14,Task!$L$2:$L$46,"Selesai")</f>
        <v/>
      </c>
      <c r="G14" s="11">
        <f>IF(D14=0,"-",F14/D14)</f>
        <v/>
      </c>
    </row>
    <row r="15">
      <c r="A15" s="9" t="inlineStr">
        <is>
          <t>F03</t>
        </is>
      </c>
      <c r="B15" s="10">
        <f>INDEX(Fitur!$B$2:$B$17,MATCH(A15,Fitur!$A$2:$A$17,0))</f>
        <v/>
      </c>
      <c r="C15" s="9">
        <f>INDEX(Fitur!$C$2:$C$17,MATCH(A15,Fitur!$A$2:$A$17,0))</f>
        <v/>
      </c>
      <c r="D15" s="9">
        <f>COUNTIF(Task!$B$2:$B$46,A15)</f>
        <v/>
      </c>
      <c r="E15" s="9">
        <f>SUMIF(Task!$B$2:$B$46,A15,Task!$I$2:$I$46)</f>
        <v/>
      </c>
      <c r="F15" s="9">
        <f>COUNTIFS(Task!$B$2:$B$46,A15,Task!$L$2:$L$46,"Selesai")</f>
        <v/>
      </c>
      <c r="G15" s="11">
        <f>IF(D15=0,"-",F15/D15)</f>
        <v/>
      </c>
    </row>
    <row r="16">
      <c r="A16" s="9" t="inlineStr">
        <is>
          <t>F04</t>
        </is>
      </c>
      <c r="B16" s="10">
        <f>INDEX(Fitur!$B$2:$B$17,MATCH(A16,Fitur!$A$2:$A$17,0))</f>
        <v/>
      </c>
      <c r="C16" s="9">
        <f>INDEX(Fitur!$C$2:$C$17,MATCH(A16,Fitur!$A$2:$A$17,0))</f>
        <v/>
      </c>
      <c r="D16" s="9">
        <f>COUNTIF(Task!$B$2:$B$46,A16)</f>
        <v/>
      </c>
      <c r="E16" s="9">
        <f>SUMIF(Task!$B$2:$B$46,A16,Task!$I$2:$I$46)</f>
        <v/>
      </c>
      <c r="F16" s="9">
        <f>COUNTIFS(Task!$B$2:$B$46,A16,Task!$L$2:$L$46,"Selesai")</f>
        <v/>
      </c>
      <c r="G16" s="11">
        <f>IF(D16=0,"-",F16/D16)</f>
        <v/>
      </c>
    </row>
    <row r="17">
      <c r="A17" s="9" t="inlineStr">
        <is>
          <t>F05</t>
        </is>
      </c>
      <c r="B17" s="10">
        <f>INDEX(Fitur!$B$2:$B$17,MATCH(A17,Fitur!$A$2:$A$17,0))</f>
        <v/>
      </c>
      <c r="C17" s="9">
        <f>INDEX(Fitur!$C$2:$C$17,MATCH(A17,Fitur!$A$2:$A$17,0))</f>
        <v/>
      </c>
      <c r="D17" s="9">
        <f>COUNTIF(Task!$B$2:$B$46,A17)</f>
        <v/>
      </c>
      <c r="E17" s="9">
        <f>SUMIF(Task!$B$2:$B$46,A17,Task!$I$2:$I$46)</f>
        <v/>
      </c>
      <c r="F17" s="9">
        <f>COUNTIFS(Task!$B$2:$B$46,A17,Task!$L$2:$L$46,"Selesai")</f>
        <v/>
      </c>
      <c r="G17" s="11">
        <f>IF(D17=0,"-",F17/D17)</f>
        <v/>
      </c>
    </row>
    <row r="18">
      <c r="A18" s="9" t="inlineStr">
        <is>
          <t>F06</t>
        </is>
      </c>
      <c r="B18" s="10">
        <f>INDEX(Fitur!$B$2:$B$17,MATCH(A18,Fitur!$A$2:$A$17,0))</f>
        <v/>
      </c>
      <c r="C18" s="9">
        <f>INDEX(Fitur!$C$2:$C$17,MATCH(A18,Fitur!$A$2:$A$17,0))</f>
        <v/>
      </c>
      <c r="D18" s="9">
        <f>COUNTIF(Task!$B$2:$B$46,A18)</f>
        <v/>
      </c>
      <c r="E18" s="9">
        <f>SUMIF(Task!$B$2:$B$46,A18,Task!$I$2:$I$46)</f>
        <v/>
      </c>
      <c r="F18" s="9">
        <f>COUNTIFS(Task!$B$2:$B$46,A18,Task!$L$2:$L$46,"Selesai")</f>
        <v/>
      </c>
      <c r="G18" s="11">
        <f>IF(D18=0,"-",F18/D18)</f>
        <v/>
      </c>
    </row>
    <row r="19">
      <c r="A19" s="9" t="inlineStr">
        <is>
          <t>F07</t>
        </is>
      </c>
      <c r="B19" s="10">
        <f>INDEX(Fitur!$B$2:$B$17,MATCH(A19,Fitur!$A$2:$A$17,0))</f>
        <v/>
      </c>
      <c r="C19" s="9">
        <f>INDEX(Fitur!$C$2:$C$17,MATCH(A19,Fitur!$A$2:$A$17,0))</f>
        <v/>
      </c>
      <c r="D19" s="9">
        <f>COUNTIF(Task!$B$2:$B$46,A19)</f>
        <v/>
      </c>
      <c r="E19" s="9">
        <f>SUMIF(Task!$B$2:$B$46,A19,Task!$I$2:$I$46)</f>
        <v/>
      </c>
      <c r="F19" s="9">
        <f>COUNTIFS(Task!$B$2:$B$46,A19,Task!$L$2:$L$46,"Selesai")</f>
        <v/>
      </c>
      <c r="G19" s="11">
        <f>IF(D19=0,"-",F19/D19)</f>
        <v/>
      </c>
    </row>
    <row r="20">
      <c r="A20" s="9" t="inlineStr">
        <is>
          <t>F08</t>
        </is>
      </c>
      <c r="B20" s="10">
        <f>INDEX(Fitur!$B$2:$B$17,MATCH(A20,Fitur!$A$2:$A$17,0))</f>
        <v/>
      </c>
      <c r="C20" s="9">
        <f>INDEX(Fitur!$C$2:$C$17,MATCH(A20,Fitur!$A$2:$A$17,0))</f>
        <v/>
      </c>
      <c r="D20" s="9">
        <f>COUNTIF(Task!$B$2:$B$46,A20)</f>
        <v/>
      </c>
      <c r="E20" s="9">
        <f>SUMIF(Task!$B$2:$B$46,A20,Task!$I$2:$I$46)</f>
        <v/>
      </c>
      <c r="F20" s="9">
        <f>COUNTIFS(Task!$B$2:$B$46,A20,Task!$L$2:$L$46,"Selesai")</f>
        <v/>
      </c>
      <c r="G20" s="11">
        <f>IF(D20=0,"-",F20/D20)</f>
        <v/>
      </c>
    </row>
    <row r="21">
      <c r="A21" s="9" t="inlineStr">
        <is>
          <t>F09</t>
        </is>
      </c>
      <c r="B21" s="10">
        <f>INDEX(Fitur!$B$2:$B$17,MATCH(A21,Fitur!$A$2:$A$17,0))</f>
        <v/>
      </c>
      <c r="C21" s="9">
        <f>INDEX(Fitur!$C$2:$C$17,MATCH(A21,Fitur!$A$2:$A$17,0))</f>
        <v/>
      </c>
      <c r="D21" s="9">
        <f>COUNTIF(Task!$B$2:$B$46,A21)</f>
        <v/>
      </c>
      <c r="E21" s="9">
        <f>SUMIF(Task!$B$2:$B$46,A21,Task!$I$2:$I$46)</f>
        <v/>
      </c>
      <c r="F21" s="9">
        <f>COUNTIFS(Task!$B$2:$B$46,A21,Task!$L$2:$L$46,"Selesai")</f>
        <v/>
      </c>
      <c r="G21" s="11">
        <f>IF(D21=0,"-",F21/D21)</f>
        <v/>
      </c>
    </row>
    <row r="22">
      <c r="A22" s="9" t="inlineStr">
        <is>
          <t>F10</t>
        </is>
      </c>
      <c r="B22" s="10">
        <f>INDEX(Fitur!$B$2:$B$17,MATCH(A22,Fitur!$A$2:$A$17,0))</f>
        <v/>
      </c>
      <c r="C22" s="9">
        <f>INDEX(Fitur!$C$2:$C$17,MATCH(A22,Fitur!$A$2:$A$17,0))</f>
        <v/>
      </c>
      <c r="D22" s="9">
        <f>COUNTIF(Task!$B$2:$B$46,A22)</f>
        <v/>
      </c>
      <c r="E22" s="9">
        <f>SUMIF(Task!$B$2:$B$46,A22,Task!$I$2:$I$46)</f>
        <v/>
      </c>
      <c r="F22" s="9">
        <f>COUNTIFS(Task!$B$2:$B$46,A22,Task!$L$2:$L$46,"Selesai")</f>
        <v/>
      </c>
      <c r="G22" s="11">
        <f>IF(D22=0,"-",F22/D22)</f>
        <v/>
      </c>
    </row>
    <row r="23">
      <c r="A23" s="9" t="inlineStr">
        <is>
          <t>F11</t>
        </is>
      </c>
      <c r="B23" s="10">
        <f>INDEX(Fitur!$B$2:$B$17,MATCH(A23,Fitur!$A$2:$A$17,0))</f>
        <v/>
      </c>
      <c r="C23" s="9">
        <f>INDEX(Fitur!$C$2:$C$17,MATCH(A23,Fitur!$A$2:$A$17,0))</f>
        <v/>
      </c>
      <c r="D23" s="9">
        <f>COUNTIF(Task!$B$2:$B$46,A23)</f>
        <v/>
      </c>
      <c r="E23" s="9">
        <f>SUMIF(Task!$B$2:$B$46,A23,Task!$I$2:$I$46)</f>
        <v/>
      </c>
      <c r="F23" s="9">
        <f>COUNTIFS(Task!$B$2:$B$46,A23,Task!$L$2:$L$46,"Selesai")</f>
        <v/>
      </c>
      <c r="G23" s="11">
        <f>IF(D23=0,"-",F23/D23)</f>
        <v/>
      </c>
    </row>
    <row r="24">
      <c r="A24" s="9" t="inlineStr">
        <is>
          <t>F12</t>
        </is>
      </c>
      <c r="B24" s="10">
        <f>INDEX(Fitur!$B$2:$B$17,MATCH(A24,Fitur!$A$2:$A$17,0))</f>
        <v/>
      </c>
      <c r="C24" s="9">
        <f>INDEX(Fitur!$C$2:$C$17,MATCH(A24,Fitur!$A$2:$A$17,0))</f>
        <v/>
      </c>
      <c r="D24" s="9">
        <f>COUNTIF(Task!$B$2:$B$46,A24)</f>
        <v/>
      </c>
      <c r="E24" s="9">
        <f>SUMIF(Task!$B$2:$B$46,A24,Task!$I$2:$I$46)</f>
        <v/>
      </c>
      <c r="F24" s="9">
        <f>COUNTIFS(Task!$B$2:$B$46,A24,Task!$L$2:$L$46,"Selesai")</f>
        <v/>
      </c>
      <c r="G24" s="11">
        <f>IF(D24=0,"-",F24/D24)</f>
        <v/>
      </c>
    </row>
    <row r="25">
      <c r="A25" s="9" t="inlineStr">
        <is>
          <t>F13</t>
        </is>
      </c>
      <c r="B25" s="10">
        <f>INDEX(Fitur!$B$2:$B$17,MATCH(A25,Fitur!$A$2:$A$17,0))</f>
        <v/>
      </c>
      <c r="C25" s="9">
        <f>INDEX(Fitur!$C$2:$C$17,MATCH(A25,Fitur!$A$2:$A$17,0))</f>
        <v/>
      </c>
      <c r="D25" s="9">
        <f>COUNTIF(Task!$B$2:$B$46,A25)</f>
        <v/>
      </c>
      <c r="E25" s="9">
        <f>SUMIF(Task!$B$2:$B$46,A25,Task!$I$2:$I$46)</f>
        <v/>
      </c>
      <c r="F25" s="9">
        <f>COUNTIFS(Task!$B$2:$B$46,A25,Task!$L$2:$L$46,"Selesai")</f>
        <v/>
      </c>
      <c r="G25" s="11">
        <f>IF(D25=0,"-",F25/D25)</f>
        <v/>
      </c>
    </row>
    <row r="26">
      <c r="A26" s="9" t="inlineStr">
        <is>
          <t>F14</t>
        </is>
      </c>
      <c r="B26" s="10">
        <f>INDEX(Fitur!$B$2:$B$17,MATCH(A26,Fitur!$A$2:$A$17,0))</f>
        <v/>
      </c>
      <c r="C26" s="9">
        <f>INDEX(Fitur!$C$2:$C$17,MATCH(A26,Fitur!$A$2:$A$17,0))</f>
        <v/>
      </c>
      <c r="D26" s="9">
        <f>COUNTIF(Task!$B$2:$B$46,A26)</f>
        <v/>
      </c>
      <c r="E26" s="9">
        <f>SUMIF(Task!$B$2:$B$46,A26,Task!$I$2:$I$46)</f>
        <v/>
      </c>
      <c r="F26" s="9">
        <f>COUNTIFS(Task!$B$2:$B$46,A26,Task!$L$2:$L$46,"Selesai")</f>
        <v/>
      </c>
      <c r="G26" s="11">
        <f>IF(D26=0,"-",F26/D26)</f>
        <v/>
      </c>
    </row>
    <row r="27">
      <c r="A27" s="9" t="inlineStr">
        <is>
          <t>F15</t>
        </is>
      </c>
      <c r="B27" s="10">
        <f>INDEX(Fitur!$B$2:$B$17,MATCH(A27,Fitur!$A$2:$A$17,0))</f>
        <v/>
      </c>
      <c r="C27" s="9">
        <f>INDEX(Fitur!$C$2:$C$17,MATCH(A27,Fitur!$A$2:$A$17,0))</f>
        <v/>
      </c>
      <c r="D27" s="9">
        <f>COUNTIF(Task!$B$2:$B$46,A27)</f>
        <v/>
      </c>
      <c r="E27" s="9">
        <f>SUMIF(Task!$B$2:$B$46,A27,Task!$I$2:$I$46)</f>
        <v/>
      </c>
      <c r="F27" s="9">
        <f>COUNTIFS(Task!$B$2:$B$46,A27,Task!$L$2:$L$46,"Selesai")</f>
        <v/>
      </c>
      <c r="G27" s="11">
        <f>IF(D27=0,"-",F27/D27)</f>
        <v/>
      </c>
    </row>
    <row r="28">
      <c r="A28" s="12" t="inlineStr">
        <is>
          <t>Total</t>
        </is>
      </c>
      <c r="B28" s="13" t="n"/>
      <c r="C28" s="12" t="n"/>
      <c r="D28" s="12">
        <f>SUM(D12:D27)</f>
        <v/>
      </c>
      <c r="E28" s="12">
        <f>SUM(E12:E27)</f>
        <v/>
      </c>
      <c r="F28" s="12">
        <f>SUM(F12:F27)</f>
        <v/>
      </c>
      <c r="G28" s="14">
        <f>IF(D28=0,"-",F28/D28)</f>
        <v/>
      </c>
    </row>
    <row r="29">
      <c r="A29" s="2" t="inlineStr">
        <is>
          <t>Fitur P2 tidak punya task karena masuk roadmap setelah hackathon.</t>
        </is>
      </c>
    </row>
    <row r="31">
      <c r="A31" s="3" t="inlineStr">
        <is>
          <t>Rekap per peran</t>
        </is>
      </c>
    </row>
    <row r="32">
      <c r="A32" s="8" t="inlineStr">
        <is>
          <t>Peran</t>
        </is>
      </c>
      <c r="B32" s="8" t="inlineStr">
        <is>
          <t>Jumlah task</t>
        </is>
      </c>
      <c r="C32" s="8" t="inlineStr">
        <is>
          <t>Estimasi (jam)</t>
        </is>
      </c>
      <c r="D32" s="8" t="inlineStr">
        <is>
          <t>Task selesai</t>
        </is>
      </c>
      <c r="E32" s="8" t="inlineStr">
        <is>
          <t>Belum ada PIC</t>
        </is>
      </c>
    </row>
    <row r="33">
      <c r="A33" s="10" t="inlineStr">
        <is>
          <t>AI/Data</t>
        </is>
      </c>
      <c r="B33" s="9">
        <f>COUNTIF(Task!$G$2:$G$46,A33)</f>
        <v/>
      </c>
      <c r="C33" s="9">
        <f>SUMIF(Task!$G$2:$G$46,A33,Task!$I$2:$I$46)</f>
        <v/>
      </c>
      <c r="D33" s="9">
        <f>COUNTIFS(Task!$G$2:$G$46,A33,Task!$L$2:$L$46,"Selesai")</f>
        <v/>
      </c>
      <c r="E33" s="9">
        <f>COUNTIFS(Task!$G$2:$G$46,A33,Task!$H$2:$H$46,"")</f>
        <v/>
      </c>
    </row>
    <row r="34">
      <c r="A34" s="10" t="inlineStr">
        <is>
          <t>Backend</t>
        </is>
      </c>
      <c r="B34" s="9">
        <f>COUNTIF(Task!$G$2:$G$46,A34)</f>
        <v/>
      </c>
      <c r="C34" s="9">
        <f>SUMIF(Task!$G$2:$G$46,A34,Task!$I$2:$I$46)</f>
        <v/>
      </c>
      <c r="D34" s="9">
        <f>COUNTIFS(Task!$G$2:$G$46,A34,Task!$L$2:$L$46,"Selesai")</f>
        <v/>
      </c>
      <c r="E34" s="9">
        <f>COUNTIFS(Task!$G$2:$G$46,A34,Task!$H$2:$H$46,"")</f>
        <v/>
      </c>
    </row>
    <row r="35">
      <c r="A35" s="10" t="inlineStr">
        <is>
          <t>Frontend</t>
        </is>
      </c>
      <c r="B35" s="9">
        <f>COUNTIF(Task!$G$2:$G$46,A35)</f>
        <v/>
      </c>
      <c r="C35" s="9">
        <f>SUMIF(Task!$G$2:$G$46,A35,Task!$I$2:$I$46)</f>
        <v/>
      </c>
      <c r="D35" s="9">
        <f>COUNTIFS(Task!$G$2:$G$46,A35,Task!$L$2:$L$46,"Selesai")</f>
        <v/>
      </c>
      <c r="E35" s="9">
        <f>COUNTIFS(Task!$G$2:$G$46,A35,Task!$H$2:$H$46,"")</f>
        <v/>
      </c>
    </row>
    <row r="36">
      <c r="A36" s="10" t="inlineStr">
        <is>
          <t>QA/PM</t>
        </is>
      </c>
      <c r="B36" s="9">
        <f>COUNTIF(Task!$G$2:$G$46,A36)</f>
        <v/>
      </c>
      <c r="C36" s="9">
        <f>SUMIF(Task!$G$2:$G$46,A36,Task!$I$2:$I$46)</f>
        <v/>
      </c>
      <c r="D36" s="9">
        <f>COUNTIFS(Task!$G$2:$G$46,A36,Task!$L$2:$L$46,"Selesai")</f>
        <v/>
      </c>
      <c r="E36" s="9">
        <f>COUNTIFS(Task!$G$2:$G$46,A36,Task!$H$2:$H$46,"")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16" customWidth="1" min="4" max="4"/>
    <col width="60" customWidth="1" min="5" max="5"/>
    <col width="40" customWidth="1" min="6" max="6"/>
    <col width="36" customWidth="1" min="7" max="7"/>
    <col width="18" customWidth="1" min="8" max="8"/>
  </cols>
  <sheetData>
    <row r="1">
      <c r="A1" s="8" t="inlineStr">
        <is>
          <t>ID</t>
        </is>
      </c>
      <c r="B1" s="8" t="inlineStr">
        <is>
          <t>Fitur</t>
        </is>
      </c>
      <c r="C1" s="8" t="inlineStr">
        <is>
          <t>Prioritas</t>
        </is>
      </c>
      <c r="D1" s="8" t="inlineStr">
        <is>
          <t>Uji</t>
        </is>
      </c>
      <c r="E1" s="8" t="inlineStr">
        <is>
          <t>Deskripsi</t>
        </is>
      </c>
      <c r="F1" s="8" t="inlineStr">
        <is>
          <t>Output utama</t>
        </is>
      </c>
      <c r="G1" s="8" t="inlineStr">
        <is>
          <t>Tabel terkait</t>
        </is>
      </c>
      <c r="H1" s="8" t="inlineStr">
        <is>
          <t>Bergantung pada fitur</t>
        </is>
      </c>
    </row>
    <row r="2">
      <c r="A2" s="9" t="inlineStr">
        <is>
          <t>F00</t>
        </is>
      </c>
      <c r="B2" s="10" t="inlineStr">
        <is>
          <t>Fondasi dan skema database</t>
        </is>
      </c>
      <c r="C2" s="9" t="inlineStr">
        <is>
          <t>P0</t>
        </is>
      </c>
      <c r="D2" s="10" t="inlineStr">
        <is>
          <t>-</t>
        </is>
      </c>
      <c r="E2" s="10" t="inlineStr">
        <is>
          <t>Menyiapkan skema Prisma sesuai ERD, migrasi, repository, dan kerangka web agar fitur lain bisa dibangun di atasnya.</t>
        </is>
      </c>
      <c r="F2" s="10" t="inlineStr">
        <is>
          <t>schema.prisma, migrasi awal, repository Prisma, layout web</t>
        </is>
      </c>
      <c r="G2" s="10" t="inlineStr">
        <is>
          <t>Semua tabel</t>
        </is>
      </c>
      <c r="H2" s="10" t="inlineStr">
        <is>
          <t>-</t>
        </is>
      </c>
    </row>
    <row r="3">
      <c r="A3" s="9" t="inlineStr">
        <is>
          <t>F01</t>
        </is>
      </c>
      <c r="B3" s="10" t="inlineStr">
        <is>
          <t>Generator dataset klaim sintetis</t>
        </is>
      </c>
      <c r="C3" s="9" t="inlineStr">
        <is>
          <t>P0</t>
        </is>
      </c>
      <c r="D3" s="10" t="inlineStr">
        <is>
          <t>Semua</t>
        </is>
      </c>
      <c r="E3" s="10" t="inlineStr">
        <is>
          <t>Membuat klaim rawat inap sintetis lengkap dengan resume medis, catatan pemeriksaan, catatan harian, resep, dan tindakan, termasuk kasus sisipan dan kunci jawabannya.</t>
        </is>
      </c>
      <c r="F3" s="10" t="inlineStr">
        <is>
          <t>Script seed data sintetis + kunci jawaban di claims.injected_case</t>
        </is>
      </c>
      <c r="G3" s="10" t="inlineStr">
        <is>
          <t>facilities, patients, claims, claim_diagnoses, clinical_documents</t>
        </is>
      </c>
      <c r="H3" s="10" t="inlineStr">
        <is>
          <t>F00</t>
        </is>
      </c>
    </row>
    <row r="4">
      <c r="A4" s="9" t="inlineStr">
        <is>
          <t>F02</t>
        </is>
      </c>
      <c r="B4" s="10" t="inlineStr">
        <is>
          <t>Ekstraksi bukti klinis</t>
        </is>
      </c>
      <c r="C4" s="9" t="inlineStr">
        <is>
          <t>P0</t>
        </is>
      </c>
      <c r="D4" s="10" t="inlineStr">
        <is>
          <t>Semua</t>
        </is>
      </c>
      <c r="E4" s="10" t="inlineStr">
        <is>
          <t>Model bahasa membaca rekam medis lalu menyusun daftar diagnosis, pemeriksaan, obat, tindakan, dan waktunya beserta kutipan dokumen asli.</t>
        </is>
      </c>
      <c r="F4" s="10" t="inlineStr">
        <is>
          <t>clinical_documents.extracted (jsonb terstruktur)</t>
        </is>
      </c>
      <c r="G4" s="10" t="inlineStr">
        <is>
          <t>clinical_documents</t>
        </is>
      </c>
      <c r="H4" s="10" t="inlineStr">
        <is>
          <t>F01</t>
        </is>
      </c>
    </row>
    <row r="5">
      <c r="A5" s="9" t="inlineStr">
        <is>
          <t>F03</t>
        </is>
      </c>
      <c r="B5" s="10" t="inlineStr">
        <is>
          <t>Pengecekan diagnosis tanpa bukti</t>
        </is>
      </c>
      <c r="C5" s="9" t="inlineStr">
        <is>
          <t>P0</t>
        </is>
      </c>
      <c r="D5" s="10" t="inlineStr">
        <is>
          <t>Uji Ada</t>
        </is>
      </c>
      <c r="E5" s="10" t="inlineStr">
        <is>
          <t>Mencocokkan tiap diagnosis sekunder dengan bukti yang seharusnya ada (obat, tindakan, temuan, tanda vital) dan menandai diagnosis yatim.</t>
        </is>
      </c>
      <c r="F5" s="10" t="inlineStr">
        <is>
          <t>findings test_type EXISTENCE</t>
        </is>
      </c>
      <c r="G5" s="10" t="inlineStr">
        <is>
          <t>evidence_rules, claim_diagnoses, findings</t>
        </is>
      </c>
      <c r="H5" s="10" t="inlineStr">
        <is>
          <t>F02</t>
        </is>
      </c>
    </row>
    <row r="6">
      <c r="A6" s="9" t="inlineStr">
        <is>
          <t>F04</t>
        </is>
      </c>
      <c r="B6" s="10" t="inlineStr">
        <is>
          <t>Pengecekan konsistensi pemeriksaan</t>
        </is>
      </c>
      <c r="C6" s="9" t="inlineStr">
        <is>
          <t>P0</t>
        </is>
      </c>
      <c r="D6" s="10" t="inlineStr">
        <is>
          <t>Uji Konsisten</t>
        </is>
      </c>
      <c r="E6" s="10" t="inlineStr">
        <is>
          <t>Membandingkan catatan pemeriksaan dengan catatan harian, tindakan, dan urutan waktu, lalu menandai yang tidak sejalan tanpa menilai kebenaran klinis.</t>
        </is>
      </c>
      <c r="F6" s="10" t="inlineStr">
        <is>
          <t>findings test_type CONSISTENCY (document_id + related_document_id)</t>
        </is>
      </c>
      <c r="G6" s="10" t="inlineStr">
        <is>
          <t>clinical_documents, findings</t>
        </is>
      </c>
      <c r="H6" s="10" t="inlineStr">
        <is>
          <t>F02</t>
        </is>
      </c>
    </row>
    <row r="7">
      <c r="A7" s="9" t="inlineStr">
        <is>
          <t>F05</t>
        </is>
      </c>
      <c r="B7" s="10" t="inlineStr">
        <is>
          <t>Kemiripan dokumen antar pasien</t>
        </is>
      </c>
      <c r="C7" s="9" t="inlineStr">
        <is>
          <t>P0</t>
        </is>
      </c>
      <c r="D7" s="10" t="inlineStr">
        <is>
          <t>Uji Bukan Salinan</t>
        </is>
      </c>
      <c r="E7" s="10" t="inlineStr">
        <is>
          <t>Mengukur kemiripan resume medis dan resep antar pasien berbeda, lalu mengelompokkan klaim yang hampir identik.</t>
        </is>
      </c>
      <c r="F7" s="10" t="inlineStr">
        <is>
          <t>findings test_type SIMILARITY (related_claim_id, similarity)</t>
        </is>
      </c>
      <c r="G7" s="10" t="inlineStr">
        <is>
          <t>clinical_documents, findings</t>
        </is>
      </c>
      <c r="H7" s="10" t="inlineStr">
        <is>
          <t>F01</t>
        </is>
      </c>
    </row>
    <row r="8">
      <c r="A8" s="9" t="inlineStr">
        <is>
          <t>F06</t>
        </is>
      </c>
      <c r="B8" s="10" t="inlineStr">
        <is>
          <t>Estimasi potensi selisih tarif</t>
        </is>
      </c>
      <c r="C8" s="9" t="inlineStr">
        <is>
          <t>P0</t>
        </is>
      </c>
      <c r="D8" s="10" t="inlineStr">
        <is>
          <t>Uji Ada</t>
        </is>
      </c>
      <c r="E8" s="10" t="inlineStr">
        <is>
          <t>Menghitung selisih tarif jika diagnosis tanpa bukti dikeluarkan dari klaim sehingga severity level turun.</t>
        </is>
      </c>
      <c r="F8" s="10" t="inlineStr">
        <is>
          <t>findings.tariff_gap, claims.potential_gap</t>
        </is>
      </c>
      <c r="G8" s="10" t="inlineStr">
        <is>
          <t>claims, findings</t>
        </is>
      </c>
      <c r="H8" s="10" t="inlineStr">
        <is>
          <t>F03</t>
        </is>
      </c>
    </row>
    <row r="9">
      <c r="A9" s="9" t="inlineStr">
        <is>
          <t>F07</t>
        </is>
      </c>
      <c r="B9" s="10" t="inlineStr">
        <is>
          <t>Antrean klaim prioritas</t>
        </is>
      </c>
      <c r="C9" s="9" t="inlineStr">
        <is>
          <t>P0</t>
        </is>
      </c>
      <c r="D9" s="10" t="inlineStr">
        <is>
          <t>Semua</t>
        </is>
      </c>
      <c r="E9" s="10" t="inlineStr">
        <is>
          <t>Mengurutkan klaim dari sinyal terkuat dan selisih tarif terbesar, dengan label perlu klarifikasi.</t>
        </is>
      </c>
      <c r="F9" s="10" t="inlineStr">
        <is>
          <t>claims.priority_score, endpoint GET /claims, halaman antrean</t>
        </is>
      </c>
      <c r="G9" s="10" t="inlineStr">
        <is>
          <t>claims, findings</t>
        </is>
      </c>
      <c r="H9" s="10" t="inlineStr">
        <is>
          <t>F03, F04, F05, F06</t>
        </is>
      </c>
    </row>
    <row r="10">
      <c r="A10" s="9" t="inlineStr">
        <is>
          <t>F08</t>
        </is>
      </c>
      <c r="B10" s="10" t="inlineStr">
        <is>
          <t>Kartu Klaim</t>
        </is>
      </c>
      <c r="C10" s="9" t="inlineStr">
        <is>
          <t>P0</t>
        </is>
      </c>
      <c r="D10" s="10" t="inlineStr">
        <is>
          <t>Semua</t>
        </is>
      </c>
      <c r="E10" s="10" t="inlineStr">
        <is>
          <t>Menampilkan bukti per uji, kutipan dokumen asli, klaim mirip, dan potensi selisih dalam satu layar.</t>
        </is>
      </c>
      <c r="F10" s="10" t="inlineStr">
        <is>
          <t>Endpoint GET /claims/:id, halaman Kartu Klaim</t>
        </is>
      </c>
      <c r="G10" s="10" t="inlineStr">
        <is>
          <t>claims, claim_diagnoses, clinical_documents, findings</t>
        </is>
      </c>
      <c r="H10" s="10" t="inlineStr">
        <is>
          <t>F07</t>
        </is>
      </c>
    </row>
    <row r="11">
      <c r="A11" s="9" t="inlineStr">
        <is>
          <t>F09</t>
        </is>
      </c>
      <c r="B11" s="10" t="inlineStr">
        <is>
          <t>Keputusan verifikator</t>
        </is>
      </c>
      <c r="C11" s="9" t="inlineStr">
        <is>
          <t>P1</t>
        </is>
      </c>
      <c r="D11" s="10" t="inlineStr">
        <is>
          <t>Semua</t>
        </is>
      </c>
      <c r="E11" s="10" t="inlineStr">
        <is>
          <t>Tombol setujui, minta klarifikasi, atau eskalasi beserta catatan alasan sebagai jejak audit.</t>
        </is>
      </c>
      <c r="F11" s="10" t="inlineStr">
        <is>
          <t>Endpoint POST /claims/:id/decisions, panel keputusan</t>
        </is>
      </c>
      <c r="G11" s="10" t="inlineStr">
        <is>
          <t>decisions, claims, users</t>
        </is>
      </c>
      <c r="H11" s="10" t="inlineStr">
        <is>
          <t>F08</t>
        </is>
      </c>
    </row>
    <row r="12">
      <c r="A12" s="9" t="inlineStr">
        <is>
          <t>F10</t>
        </is>
      </c>
      <c r="B12" s="10" t="inlineStr">
        <is>
          <t>Sorotan teks identik</t>
        </is>
      </c>
      <c r="C12" s="9" t="inlineStr">
        <is>
          <t>P1</t>
        </is>
      </c>
      <c r="D12" s="10" t="inlineStr">
        <is>
          <t>Uji Bukan Salinan</t>
        </is>
      </c>
      <c r="E12" s="10" t="inlineStr">
        <is>
          <t>Menyorot kalimat yang sama persis di antara klaim mirip.</t>
        </is>
      </c>
      <c r="F12" s="10" t="inlineStr">
        <is>
          <t>Rentang teks identik di findings.citations, tampilan berdampingan</t>
        </is>
      </c>
      <c r="G12" s="10" t="inlineStr">
        <is>
          <t>findings</t>
        </is>
      </c>
      <c r="H12" s="10" t="inlineStr">
        <is>
          <t>F05, F08</t>
        </is>
      </c>
    </row>
    <row r="13">
      <c r="A13" s="9" t="inlineStr">
        <is>
          <t>F11</t>
        </is>
      </c>
      <c r="B13" s="10" t="inlineStr">
        <is>
          <t>Ringkasan per faskes</t>
        </is>
      </c>
      <c r="C13" s="9" t="inlineStr">
        <is>
          <t>P1</t>
        </is>
      </c>
      <c r="D13" s="10" t="inlineStr">
        <is>
          <t>Semua</t>
        </is>
      </c>
      <c r="E13" s="10" t="inlineStr">
        <is>
          <t>Menampilkan jumlah tanda dan potensi selisih per faskes untuk supervisor.</t>
        </is>
      </c>
      <c r="F13" s="10" t="inlineStr">
        <is>
          <t>Endpoint agregat per faskes, halaman ringkasan</t>
        </is>
      </c>
      <c r="G13" s="10" t="inlineStr">
        <is>
          <t>facilities, claims, findings</t>
        </is>
      </c>
      <c r="H13" s="10" t="inlineStr">
        <is>
          <t>F07</t>
        </is>
      </c>
    </row>
    <row r="14">
      <c r="A14" s="9" t="inlineStr">
        <is>
          <t>F12</t>
        </is>
      </c>
      <c r="B14" s="10" t="inlineStr">
        <is>
          <t>Evaluasi metrik dan persiapan demo</t>
        </is>
      </c>
      <c r="C14" s="9" t="inlineStr">
        <is>
          <t>P0</t>
        </is>
      </c>
      <c r="D14" s="10" t="inlineStr">
        <is>
          <t>Semua</t>
        </is>
      </c>
      <c r="E14" s="10" t="inlineStr">
        <is>
          <t>Mengukur presisi, recall, dan estimasi selisih terhadap kunci jawaban, lalu menyiapkan alur demo 3 menit.</t>
        </is>
      </c>
      <c r="F14" s="10" t="inlineStr">
        <is>
          <t>Laporan metrik, naskah demo, uji end-to-end</t>
        </is>
      </c>
      <c r="G14" s="10" t="inlineStr">
        <is>
          <t>claims, findings</t>
        </is>
      </c>
      <c r="H14" s="10" t="inlineStr">
        <is>
          <t>F07, F08</t>
        </is>
      </c>
    </row>
    <row r="15">
      <c r="A15" s="9" t="inlineStr">
        <is>
          <t>F13</t>
        </is>
      </c>
      <c r="B15" s="10" t="inlineStr">
        <is>
          <t>Perbandingan faskes yang adil</t>
        </is>
      </c>
      <c r="C15" s="9" t="inlineStr">
        <is>
          <t>P2</t>
        </is>
      </c>
      <c r="D15" s="10" t="inlineStr">
        <is>
          <t>Semua</t>
        </is>
      </c>
      <c r="E15" s="10" t="inlineStr">
        <is>
          <t>Membandingkan faskes berdasarkan tipe dan case-mix. Roadmap setelah hackathon.</t>
        </is>
      </c>
      <c r="F15" s="10" t="inlineStr">
        <is>
          <t>-</t>
        </is>
      </c>
      <c r="G15" s="10" t="inlineStr">
        <is>
          <t>-</t>
        </is>
      </c>
      <c r="H15" s="10" t="inlineStr">
        <is>
          <t>F11</t>
        </is>
      </c>
    </row>
    <row r="16">
      <c r="A16" s="9" t="inlineStr">
        <is>
          <t>F14</t>
        </is>
      </c>
      <c r="B16" s="10" t="inlineStr">
        <is>
          <t>Umpan balik untuk aturan</t>
        </is>
      </c>
      <c r="C16" s="9" t="inlineStr">
        <is>
          <t>P2</t>
        </is>
      </c>
      <c r="D16" s="10" t="inlineStr">
        <is>
          <t>Semua</t>
        </is>
      </c>
      <c r="E16" s="10" t="inlineStr">
        <is>
          <t>Keputusan verifikator dipakai untuk memperbaiki aturan dan ambang batas. Roadmap setelah hackathon.</t>
        </is>
      </c>
      <c r="F16" s="10" t="inlineStr">
        <is>
          <t>-</t>
        </is>
      </c>
      <c r="G16" s="10" t="inlineStr">
        <is>
          <t>-</t>
        </is>
      </c>
      <c r="H16" s="10" t="inlineStr">
        <is>
          <t>F09</t>
        </is>
      </c>
    </row>
    <row r="17">
      <c r="A17" s="9" t="inlineStr">
        <is>
          <t>F15</t>
        </is>
      </c>
      <c r="B17" s="10" t="inlineStr">
        <is>
          <t>Deteksi pola dokumen buatan AI</t>
        </is>
      </c>
      <c r="C17" s="9" t="inlineStr">
        <is>
          <t>P2</t>
        </is>
      </c>
      <c r="D17" s="10" t="inlineStr">
        <is>
          <t>Uji Bukan Salinan</t>
        </is>
      </c>
      <c r="E17" s="10" t="inlineStr">
        <is>
          <t>Menandai resume medis dengan pola teks buatan model bahasa. Roadmap setelah hackathon.</t>
        </is>
      </c>
      <c r="F17" s="10" t="inlineStr">
        <is>
          <t>-</t>
        </is>
      </c>
      <c r="G17" s="10" t="inlineStr">
        <is>
          <t>-</t>
        </is>
      </c>
      <c r="H17" s="10" t="inlineStr">
        <is>
          <t>F05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0" customWidth="1" min="3" max="3"/>
    <col width="34" customWidth="1" min="4" max="4"/>
    <col width="38" customWidth="1" min="5" max="5"/>
    <col width="46" customWidth="1" min="6" max="6"/>
    <col width="30" customWidth="1" min="7" max="7"/>
    <col width="46" customWidth="1" min="8" max="8"/>
    <col width="24" customWidth="1" min="9" max="9"/>
  </cols>
  <sheetData>
    <row r="1">
      <c r="A1" s="8" t="inlineStr">
        <is>
          <t>ID</t>
        </is>
      </c>
      <c r="B1" s="8" t="inlineStr">
        <is>
          <t>Fitur</t>
        </is>
      </c>
      <c r="C1" s="8" t="inlineStr">
        <is>
          <t>Prioritas</t>
        </is>
      </c>
      <c r="D1" s="8" t="inlineStr">
        <is>
          <t>Tujuan</t>
        </is>
      </c>
      <c r="E1" s="8" t="inlineStr">
        <is>
          <t>User story</t>
        </is>
      </c>
      <c r="F1" s="8" t="inlineStr">
        <is>
          <t>Masuk ruang lingkup</t>
        </is>
      </c>
      <c r="G1" s="8" t="inlineStr">
        <is>
          <t>Di luar ruang lingkup</t>
        </is>
      </c>
      <c r="H1" s="8" t="inlineStr">
        <is>
          <t>Kriteria penerimaan</t>
        </is>
      </c>
      <c r="I1" s="8" t="inlineStr">
        <is>
          <t>Rujukan PRD</t>
        </is>
      </c>
    </row>
    <row r="2">
      <c r="A2" s="9" t="inlineStr">
        <is>
          <t>F00</t>
        </is>
      </c>
      <c r="B2" s="10">
        <f>INDEX(Fitur!$B$2:$B$17,MATCH(A2,Fitur!$A$2:$A$17,0))</f>
        <v/>
      </c>
      <c r="C2" s="9">
        <f>INDEX(Fitur!$C$2:$C$17,MATCH(A2,Fitur!$A$2:$A$17,0))</f>
        <v/>
      </c>
      <c r="D2" s="10" t="inlineStr">
        <is>
          <t>Semua fitur memakai skema data dan arsitektur yang sama sejak hari pertama.</t>
        </is>
      </c>
      <c r="E2" s="10" t="inlineStr">
        <is>
          <t>Sebagai anggota tim, saya ingin skema dan kerangka proyek siap supaya bisa langsung membangun fitur.</t>
        </is>
      </c>
      <c r="F2" s="10" t="inlineStr">
        <is>
          <t>- schema.prisma 9 tabel sesuai ERD revisi
- Migrasi awal
- PrismaModule di-wiring
- Repository contract di domain, implementasi Prisma di infrastructure
- Layout dan navigasi web</t>
        </is>
      </c>
      <c r="G2" s="10" t="inlineStr">
        <is>
          <t>- Autentikasi dan manajemen pengguna lengkap</t>
        </is>
      </c>
      <c r="H2" s="10" t="inlineStr">
        <is>
          <t>- npm run prisma:migrate berhasil di database kosong
- npm run build, lint, typecheck lulus
- Halaman web terbuka dengan navigasi antrean dan ringkasan</t>
        </is>
      </c>
      <c r="I2" s="10" t="inlineStr">
        <is>
          <t>Kebutuhan data dan arsitektur teknis</t>
        </is>
      </c>
    </row>
    <row r="3">
      <c r="A3" s="9" t="inlineStr">
        <is>
          <t>F01</t>
        </is>
      </c>
      <c r="B3" s="10">
        <f>INDEX(Fitur!$B$2:$B$17,MATCH(A3,Fitur!$A$2:$A$17,0))</f>
        <v/>
      </c>
      <c r="C3" s="9">
        <f>INDEX(Fitur!$C$2:$C$17,MATCH(A3,Fitur!$A$2:$A$17,0))</f>
        <v/>
      </c>
      <c r="D3" s="10" t="inlineStr">
        <is>
          <t>Menyediakan data realistis tanpa memakai data peserta JKN riil, lengkap dengan kunci jawaban untuk mengukur hasil.</t>
        </is>
      </c>
      <c r="E3" s="10" t="inlineStr">
        <is>
          <t>Sebagai tim, saya ingin dataset sintetis dengan kasus sisipan supaya demo dan metrik bisa diukur secara jujur.</t>
        </is>
      </c>
      <c r="F3" s="10" t="inlineStr">
        <is>
          <t>- Klaim rawat inap, resume medis, catatan pemeriksaan, catatan harian, resep, tindakan
- Kasus sisipan upcoding, manipulasi pemeriksaan, cloning
- Kasus wajar yang tetap tertandai (UC-4)
- Satu klaim bisa memuat lebih dari satu modus</t>
        </is>
      </c>
      <c r="G3" s="10" t="inlineStr">
        <is>
          <t>- Integrasi data BPJS atau data riil
- Cakupan semua diagnosis dan kelompok INA-CBG</t>
        </is>
      </c>
      <c r="H3" s="10" t="inlineStr">
        <is>
          <t>- Seed bisa dijalankan ulang dan menghasilkan data yang sama
- Setiap klaim sisipan punya injected_case yang benar
- Skenario UC-1 sampai UC-4 tersedia di data</t>
        </is>
      </c>
      <c r="I3" s="10" t="inlineStr">
        <is>
          <t>MVP hackathon, UC-1 s.d. UC-4</t>
        </is>
      </c>
    </row>
    <row r="4">
      <c r="A4" s="9" t="inlineStr">
        <is>
          <t>F02</t>
        </is>
      </c>
      <c r="B4" s="10">
        <f>INDEX(Fitur!$B$2:$B$17,MATCH(A4,Fitur!$A$2:$A$17,0))</f>
        <v/>
      </c>
      <c r="C4" s="9">
        <f>INDEX(Fitur!$C$2:$C$17,MATCH(A4,Fitur!$A$2:$A$17,0))</f>
        <v/>
      </c>
      <c r="D4" s="10" t="inlineStr">
        <is>
          <t>Mengubah rekam medis teks bebas menjadi bukti terstruktur yang bisa diuji aturan.</t>
        </is>
      </c>
      <c r="E4" s="10" t="inlineStr">
        <is>
          <t>Sebagai sistem, saya ingin daftar diagnosis, pemeriksaan, obat, tindakan, dan waktunya supaya tiga uji bisa berjalan.</t>
        </is>
      </c>
      <c r="F4" s="10" t="inlineStr">
        <is>
          <t>- Prompt dengan output terstruktur
- Setiap butir menyimpan kutipan dokumen asli
- Hasil disimpan di clinical_documents.extracted</t>
        </is>
      </c>
      <c r="G4" s="10" t="inlineStr">
        <is>
          <t>- Model bahasa tidak memberi penilaian atau label fraud</t>
        </is>
      </c>
      <c r="H4" s="10" t="inlineStr">
        <is>
          <t>- Ekstraksi berjalan untuk semua dokumen sintetis
- Setiap butir bukti punya kutipan yang bisa dilacak ke dokumen
- Kesalahan model ditangani tanpa menghentikan proses</t>
        </is>
      </c>
      <c r="I4" s="10" t="inlineStr">
        <is>
          <t>Arsitektur MVP lapis Ekstraksi bukti klinis; risiko model salah membaca</t>
        </is>
      </c>
    </row>
    <row r="5">
      <c r="A5" s="9" t="inlineStr">
        <is>
          <t>F03</t>
        </is>
      </c>
      <c r="B5" s="10">
        <f>INDEX(Fitur!$B$2:$B$17,MATCH(A5,Fitur!$A$2:$A$17,0))</f>
        <v/>
      </c>
      <c r="C5" s="9">
        <f>INDEX(Fitur!$C$2:$C$17,MATCH(A5,Fitur!$A$2:$A$17,0))</f>
        <v/>
      </c>
      <c r="D5" s="10" t="inlineStr">
        <is>
          <t>Menandai diagnosis sekunder yang menaikkan severity level tanpa didukung bukti klinis.</t>
        </is>
      </c>
      <c r="E5" s="10" t="inlineStr">
        <is>
          <t>Sebagai verifikator, saya ingin tahu diagnosis mana yang tidak punya bukti supaya bisa meminta klarifikasi yang spesifik.</t>
        </is>
      </c>
      <c r="F5" s="10" t="inlineStr">
        <is>
          <t>- Tabel bukti klinis untuk sejumlah kecil diagnosis sekunder
- Pencocokan diagnosis dengan bukti hasil ekstraksi
- Finding menyebut bukti yang dicari tetapi tidak ditemukan</t>
        </is>
      </c>
      <c r="G5" s="10" t="inlineStr">
        <is>
          <t>- Cakupan semua diagnosis
- Menilai kebenaran klinis</t>
        </is>
      </c>
      <c r="H5" s="10" t="inlineStr">
        <is>
          <t>- Kasus UC-1 (DBD + syok tanpa resusitasi cairan) tertandai
- Diagnosis dengan bukti lengkap tidak tertandai
- Setiap finding menautkan diagnosis_id dan kutipan</t>
        </is>
      </c>
      <c r="I5" s="10" t="inlineStr">
        <is>
          <t>UC-1 Diagnosis tambahan tanpa bukti</t>
        </is>
      </c>
    </row>
    <row r="6">
      <c r="A6" s="9" t="inlineStr">
        <is>
          <t>F04</t>
        </is>
      </c>
      <c r="B6" s="10">
        <f>INDEX(Fitur!$B$2:$B$17,MATCH(A6,Fitur!$A$2:$A$17,0))</f>
        <v/>
      </c>
      <c r="C6" s="9">
        <f>INDEX(Fitur!$C$2:$C$17,MATCH(A6,Fitur!$A$2:$A$17,0))</f>
        <v/>
      </c>
      <c r="D6" s="10" t="inlineStr">
        <is>
          <t>Menandai catatan pemeriksaan yang tidak sejalan dengan catatan lain di rekam medis yang sama.</t>
        </is>
      </c>
      <c r="E6" s="10" t="inlineStr">
        <is>
          <t>Sebagai verifikator, saya ingin melihat catatan pemeriksaan yang tidak sejalan supaya tahu bagian mana yang perlu dikonfirmasi.</t>
        </is>
      </c>
      <c r="F6" s="10" t="inlineStr">
        <is>
          <t>- Temuan hanya muncul di dokumen klaim tetapi tidak di catatan harian
- Temuan tanpa tindakan apa pun
- Waktu pemeriksaan yang tidak masuk akal
- Dua kutipan ditampilkan berdampingan</t>
        </is>
      </c>
      <c r="G6" s="10" t="inlineStr">
        <is>
          <t>- Menentukan mana yang benar secara klinis</t>
        </is>
      </c>
      <c r="H6" s="10" t="inlineStr">
        <is>
          <t>- Kasus UC-2 (pneumonia, sesak vs tidak sesak, tanpa oksigen) tertandai
- Finding menyimpan document_id dan related_document_id</t>
        </is>
      </c>
      <c r="I6" s="10" t="inlineStr">
        <is>
          <t>UC-2 Catatan pemeriksaan tidak konsisten</t>
        </is>
      </c>
    </row>
    <row r="7">
      <c r="A7" s="9" t="inlineStr">
        <is>
          <t>F05</t>
        </is>
      </c>
      <c r="B7" s="10">
        <f>INDEX(Fitur!$B$2:$B$17,MATCH(A7,Fitur!$A$2:$A$17,0))</f>
        <v/>
      </c>
      <c r="C7" s="9">
        <f>INDEX(Fitur!$C$2:$C$17,MATCH(A7,Fitur!$A$2:$A$17,0))</f>
        <v/>
      </c>
      <c r="D7" s="10" t="inlineStr">
        <is>
          <t>Mengenali rekam medis yang disalin dari pasien lain.</t>
        </is>
      </c>
      <c r="E7" s="10" t="inlineStr">
        <is>
          <t>Sebagai verifikator, saya ingin melihat klaim lain yang isinya hampir sama supaya bisa mengenali pola salinan.</t>
        </is>
      </c>
      <c r="F7" s="10" t="inlineStr">
        <is>
          <t>- Kemiripan resume medis dan resep antar pasien berbeda
- Pasangan disimpan dua arah (A ke B dan B ke A)
- Ambang batas yang bisa dikalibrasi</t>
        </is>
      </c>
      <c r="G7" s="10" t="inlineStr">
        <is>
          <t>- Deteksi teks buatan AI (P2)</t>
        </is>
      </c>
      <c r="H7" s="10" t="inlineStr">
        <is>
          <t>- Kluster UC-3 (belasan klaim satu faskes) terdeteksi
- Tidak ada baris dobel berkat unique (claim_id, related_claim_id, test_type)
- Klaim dari pasien yang sama tidak dibandingkan</t>
        </is>
      </c>
      <c r="I7" s="10" t="inlineStr">
        <is>
          <t>UC-3 Rekam medis hasil salinan</t>
        </is>
      </c>
    </row>
    <row r="8">
      <c r="A8" s="9" t="inlineStr">
        <is>
          <t>F06</t>
        </is>
      </c>
      <c r="B8" s="10">
        <f>INDEX(Fitur!$B$2:$B$17,MATCH(A8,Fitur!$A$2:$A$17,0))</f>
        <v/>
      </c>
      <c r="C8" s="9">
        <f>INDEX(Fitur!$C$2:$C$17,MATCH(A8,Fitur!$A$2:$A$17,0))</f>
        <v/>
      </c>
      <c r="D8" s="10" t="inlineStr">
        <is>
          <t>Menunjukkan dampak finansial dalam rupiah, bukan sekadar jumlah anomali.</t>
        </is>
      </c>
      <c r="E8" s="10" t="inlineStr">
        <is>
          <t>Sebagai verifikator, saya ingin melihat potensi selisih tarif supaya tahu dampak finansial koreksinya.</t>
        </is>
      </c>
      <c r="F8" s="10" t="inlineStr">
        <is>
          <t>- Selisih tarif per diagnosis tanpa bukti
- Total potensi selisih per klaim</t>
        </is>
      </c>
      <c r="G8" s="10" t="inlineStr">
        <is>
          <t>- Tabel tarif INA-CBG lengkap</t>
        </is>
      </c>
      <c r="H8" s="10" t="inlineStr">
        <is>
          <t>- Selisih muncul dalam rupiah di antrean dan Kartu Klaim
- Klaim tanpa finding Uji Ada punya selisih 0</t>
        </is>
      </c>
      <c r="I8" s="10" t="inlineStr">
        <is>
          <t>Manfaat dan pembeda; metrik Estimasi potensi selisih tarif</t>
        </is>
      </c>
    </row>
    <row r="9">
      <c r="A9" s="9" t="inlineStr">
        <is>
          <t>F07</t>
        </is>
      </c>
      <c r="B9" s="10">
        <f>INDEX(Fitur!$B$2:$B$17,MATCH(A9,Fitur!$A$2:$A$17,0))</f>
        <v/>
      </c>
      <c r="C9" s="9">
        <f>INDEX(Fitur!$C$2:$C$17,MATCH(A9,Fitur!$A$2:$A$17,0))</f>
        <v/>
      </c>
      <c r="D9" s="10" t="inlineStr">
        <is>
          <t>Verifikator menghabiskan waktu pada klaim yang paling berisiko.</t>
        </is>
      </c>
      <c r="E9" s="10" t="inlineStr">
        <is>
          <t>Sebagai verifikator, saya ingin melihat klaim yang paling perlu dicek di urutan teratas.</t>
        </is>
      </c>
      <c r="F9" s="10" t="inlineStr">
        <is>
          <t>- Skor prioritas dari kekuatan sinyal tiga uji dan selisih tarif
- Label perlu klarifikasi (bukan fraud)
- Filter status
- Loading Skeleton, empty state, dan error dengan tombol coba lagi</t>
        </is>
      </c>
      <c r="G9" s="10" t="inlineStr">
        <is>
          <t>- Notifikasi ke faskes</t>
        </is>
      </c>
      <c r="H9" s="10" t="inlineStr">
        <is>
          <t>- Klaim sisipan berada di urutan atas
- Label tidak pernah menyebut fraud
- Klik baris membuka Kartu Klaim</t>
        </is>
      </c>
      <c r="I9" s="10" t="inlineStr">
        <is>
          <t>Alur demo langkah 1; alur verifikator langkah 1-2</t>
        </is>
      </c>
    </row>
    <row r="10">
      <c r="A10" s="9" t="inlineStr">
        <is>
          <t>F08</t>
        </is>
      </c>
      <c r="B10" s="10">
        <f>INDEX(Fitur!$B$2:$B$17,MATCH(A10,Fitur!$A$2:$A$17,0))</f>
        <v/>
      </c>
      <c r="C10" s="9">
        <f>INDEX(Fitur!$C$2:$C$17,MATCH(A10,Fitur!$A$2:$A$17,0))</f>
        <v/>
      </c>
      <c r="D10" s="10" t="inlineStr">
        <is>
          <t>Verifikator memahami kenapa sebuah klaim perlu diklarifikasi dalam kurang dari satu menit.</t>
        </is>
      </c>
      <c r="E10" s="10" t="inlineStr">
        <is>
          <t>Sebagai verifikator, saya ingin melihat bukti per uji, klaim mirip, dan selisih tarif dalam satu layar.</t>
        </is>
      </c>
      <c r="F10" s="10" t="inlineStr">
        <is>
          <t>- Ringkasan klaim dan potensi selisih
- Panel Uji Ada, Uji Konsisten, Uji Bukan Salinan
- Kutipan dokumen asli
- Tautan ke klaim mirip</t>
        </is>
      </c>
      <c r="G10" s="10" t="inlineStr">
        <is>
          <t>- Mengubah data klaim</t>
        </is>
      </c>
      <c r="H10" s="10" t="inlineStr">
        <is>
          <t>- Alur demo langkah 2-5 bisa ditunjukkan dari satu halaman
- Setiap tanda punya kutipan yang bisa dicek</t>
        </is>
      </c>
      <c r="I10" s="10" t="inlineStr">
        <is>
          <t>Alur demo langkah 2-5; UC-1 s.d. UC-4</t>
        </is>
      </c>
    </row>
    <row r="11">
      <c r="A11" s="9" t="inlineStr">
        <is>
          <t>F09</t>
        </is>
      </c>
      <c r="B11" s="10">
        <f>INDEX(Fitur!$B$2:$B$17,MATCH(A11,Fitur!$A$2:$A$17,0))</f>
        <v/>
      </c>
      <c r="C11" s="9">
        <f>INDEX(Fitur!$C$2:$C$17,MATCH(A11,Fitur!$A$2:$A$17,0))</f>
        <v/>
      </c>
      <c r="D11" s="10" t="inlineStr">
        <is>
          <t>Keputusan tetap di tangan manusia dan tercatat untuk audit.</t>
        </is>
      </c>
      <c r="E11" s="10" t="inlineStr">
        <is>
          <t>Sebagai verifikator, saya ingin mencatat keputusan dan alasan saya supaya ada jejak audit dan masukan untuk sistem.</t>
        </is>
      </c>
      <c r="F11" s="10" t="inlineStr">
        <is>
          <t>- Setujui, minta klarifikasi, eskalasi
- Alasan wajib diisi
- Status klaim ikut berubah
- Riwayat keputusan</t>
        </is>
      </c>
      <c r="G11" s="10" t="inlineStr">
        <is>
          <t>- Mengirim klarifikasi ke faskes secara otomatis</t>
        </is>
      </c>
      <c r="H11" s="10" t="inlineStr">
        <is>
          <t>- Keputusan tersimpan di decisions dengan verifier_id
- Status di antrean ikut berubah
- UC-4: klaim wajar bisa disetujui dengan alasan</t>
        </is>
      </c>
      <c r="I11" s="10" t="inlineStr">
        <is>
          <t>Alur verifikator langkah 5; UC-4</t>
        </is>
      </c>
    </row>
    <row r="12">
      <c r="A12" s="9" t="inlineStr">
        <is>
          <t>F10</t>
        </is>
      </c>
      <c r="B12" s="10">
        <f>INDEX(Fitur!$B$2:$B$17,MATCH(A12,Fitur!$A$2:$A$17,0))</f>
        <v/>
      </c>
      <c r="C12" s="9">
        <f>INDEX(Fitur!$C$2:$C$17,MATCH(A12,Fitur!$A$2:$A$17,0))</f>
        <v/>
      </c>
      <c r="D12" s="10" t="inlineStr">
        <is>
          <t>Bukti salinan langsung terlihat tanpa membaca dua dokumen penuh.</t>
        </is>
      </c>
      <c r="E12" s="10" t="inlineStr">
        <is>
          <t>Sebagai verifikator, saya ingin melihat kalimat yang identik disorot supaya pola salinan jelas.</t>
        </is>
      </c>
      <c r="F12" s="10" t="inlineStr">
        <is>
          <t>- Rentang kalimat identik di citations
- Tampilan dua dokumen berdampingan dengan sorotan</t>
        </is>
      </c>
      <c r="G12" s="10" t="inlineStr">
        <is>
          <t>-</t>
        </is>
      </c>
      <c r="H12" s="10" t="inlineStr">
        <is>
          <t>- Kalimat identik pada kluster UC-3 tersorot di kedua dokumen</t>
        </is>
      </c>
      <c r="I12" s="10" t="inlineStr">
        <is>
          <t>Alur demo langkah 4; UC-3</t>
        </is>
      </c>
    </row>
    <row r="13">
      <c r="A13" s="9" t="inlineStr">
        <is>
          <t>F11</t>
        </is>
      </c>
      <c r="B13" s="10">
        <f>INDEX(Fitur!$B$2:$B$17,MATCH(A13,Fitur!$A$2:$A$17,0))</f>
        <v/>
      </c>
      <c r="C13" s="9">
        <f>INDEX(Fitur!$C$2:$C$17,MATCH(A13,Fitur!$A$2:$A$17,0))</f>
        <v/>
      </c>
      <c r="D13" s="10" t="inlineStr">
        <is>
          <t>Supervisor bisa menentukan prioritas pembinaan faskes.</t>
        </is>
      </c>
      <c r="E13" s="10" t="inlineStr">
        <is>
          <t>Sebagai supervisor, saya ingin melihat ringkasan tanda per faskes.</t>
        </is>
      </c>
      <c r="F13" s="10" t="inlineStr">
        <is>
          <t>- Jumlah tanda per uji dan potensi selisih per faskes
- Daftar eskalasi</t>
        </is>
      </c>
      <c r="G13" s="10" t="inlineStr">
        <is>
          <t>- Dashboard lengkap per faskes
- Perbandingan berdasarkan case-mix (P2)</t>
        </is>
      </c>
      <c r="H13" s="10" t="inlineStr">
        <is>
          <t>- Angka ringkasan sama dengan jumlah findings di database</t>
        </is>
      </c>
      <c r="I13" s="10" t="inlineStr">
        <is>
          <t>Persona Tim anti-fraud / supervisor</t>
        </is>
      </c>
    </row>
    <row r="14">
      <c r="A14" s="9" t="inlineStr">
        <is>
          <t>F12</t>
        </is>
      </c>
      <c r="B14" s="10">
        <f>INDEX(Fitur!$B$2:$B$17,MATCH(A14,Fitur!$A$2:$A$17,0))</f>
        <v/>
      </c>
      <c r="C14" s="9">
        <f>INDEX(Fitur!$C$2:$C$17,MATCH(A14,Fitur!$A$2:$A$17,0))</f>
        <v/>
      </c>
      <c r="D14" s="10" t="inlineStr">
        <is>
          <t>Membuktikan hasil di depan juri dengan angka yang jujur.</t>
        </is>
      </c>
      <c r="E14" s="10" t="inlineStr">
        <is>
          <t>Sebagai tim, saya ingin metrik dan naskah demo yang siap supaya demo 3 menit berjalan lancar.</t>
        </is>
      </c>
      <c r="F14" s="10" t="inlineStr">
        <is>
          <t>- Presisi dan recall penandaan
- Waktu memahami satu klaim
- Total estimasi selisih pada kasus yang benar
- Naskah dan data demo</t>
        </is>
      </c>
      <c r="G14" s="10" t="inlineStr">
        <is>
          <t>- Metrik setelah hackathon (penurunan klaim tanpa bukti, kelengkapan dokumentasi)</t>
        </is>
      </c>
      <c r="H14" s="10" t="inlineStr">
        <is>
          <t>- Metrik dihitung otomatis dari injected_case vs findings
- Semua angka diberi label estimasi berbasis data sintetis
- Alur demo diuji end-to-end</t>
        </is>
      </c>
      <c r="I14" s="10" t="inlineStr">
        <is>
          <t>Metrik keberhasilan; alur demo 3 menit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zoomScale="10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9" customWidth="1" min="4" max="4"/>
    <col width="34" customWidth="1" min="5" max="5"/>
    <col width="52" customWidth="1" min="6" max="6"/>
    <col width="11" customWidth="1" min="7" max="7"/>
    <col width="16" customWidth="1" min="8" max="8"/>
    <col width="10" customWidth="1" min="9" max="9"/>
    <col width="20" customWidth="1" min="10" max="10"/>
    <col width="13" customWidth="1" min="11" max="11"/>
    <col width="13" customWidth="1" min="12" max="12"/>
  </cols>
  <sheetData>
    <row r="1">
      <c r="A1" s="8" t="inlineStr">
        <is>
          <t>ID Task</t>
        </is>
      </c>
      <c r="B1" s="8" t="inlineStr">
        <is>
          <t>ID Fitur</t>
        </is>
      </c>
      <c r="C1" s="8" t="inlineStr">
        <is>
          <t>Fitur</t>
        </is>
      </c>
      <c r="D1" s="8" t="inlineStr">
        <is>
          <t>Prioritas</t>
        </is>
      </c>
      <c r="E1" s="8" t="inlineStr">
        <is>
          <t>Task</t>
        </is>
      </c>
      <c r="F1" s="8" t="inlineStr">
        <is>
          <t>Detail / output</t>
        </is>
      </c>
      <c r="G1" s="8" t="inlineStr">
        <is>
          <t>Peran</t>
        </is>
      </c>
      <c r="H1" s="8" t="inlineStr">
        <is>
          <t>PIC</t>
        </is>
      </c>
      <c r="I1" s="8" t="inlineStr">
        <is>
          <t>Estimasi (jam)</t>
        </is>
      </c>
      <c r="J1" s="8" t="inlineStr">
        <is>
          <t>Bergantung pada</t>
        </is>
      </c>
      <c r="K1" s="8" t="inlineStr">
        <is>
          <t>Fase</t>
        </is>
      </c>
      <c r="L1" s="8" t="inlineStr">
        <is>
          <t>Status</t>
        </is>
      </c>
    </row>
    <row r="2">
      <c r="A2" s="9" t="inlineStr">
        <is>
          <t>T001</t>
        </is>
      </c>
      <c r="B2" s="9" t="inlineStr">
        <is>
          <t>F00</t>
        </is>
      </c>
      <c r="C2" s="10">
        <f>INDEX(Fitur!$B$2:$B$17,MATCH(B2,Fitur!$A$2:$A$17,0))</f>
        <v/>
      </c>
      <c r="D2" s="9">
        <f>INDEX(Fitur!$C$2:$C$17,MATCH(B2,Fitur!$A$2:$A$17,0))</f>
        <v/>
      </c>
      <c r="E2" s="10" t="inlineStr">
        <is>
          <t>Tulis schema.prisma sesuai ERD</t>
        </is>
      </c>
      <c r="F2" s="10" t="inlineStr">
        <is>
          <t>9 tabel, enum, injected_case enum[], unique (claim_id, related_claim_id, test_type), relasi bernama untuk dua FK ke clinical_documents</t>
        </is>
      </c>
      <c r="G2" s="9" t="inlineStr">
        <is>
          <t>Backend</t>
        </is>
      </c>
      <c r="H2" s="15" t="n"/>
      <c r="I2" s="16" t="n">
        <v>3</v>
      </c>
      <c r="J2" s="10" t="inlineStr">
        <is>
          <t>-</t>
        </is>
      </c>
      <c r="K2" s="9" t="inlineStr">
        <is>
          <t>1 Fondasi</t>
        </is>
      </c>
      <c r="L2" s="17" t="inlineStr">
        <is>
          <t>Belum mulai</t>
        </is>
      </c>
    </row>
    <row r="3">
      <c r="A3" s="9" t="inlineStr">
        <is>
          <t>T002</t>
        </is>
      </c>
      <c r="B3" s="9" t="inlineStr">
        <is>
          <t>F00</t>
        </is>
      </c>
      <c r="C3" s="10">
        <f>INDEX(Fitur!$B$2:$B$17,MATCH(B3,Fitur!$A$2:$A$17,0))</f>
        <v/>
      </c>
      <c r="D3" s="9">
        <f>INDEX(Fitur!$C$2:$C$17,MATCH(B3,Fitur!$A$2:$A$17,0))</f>
        <v/>
      </c>
      <c r="E3" s="10" t="inlineStr">
        <is>
          <t>Migrasi awal dan wiring PrismaModule</t>
        </is>
      </c>
      <c r="F3" s="10" t="inlineStr">
        <is>
          <t>Jalankan prisma:migrate, daftarkan PrismaModule di AppModule</t>
        </is>
      </c>
      <c r="G3" s="9" t="inlineStr">
        <is>
          <t>Backend</t>
        </is>
      </c>
      <c r="H3" s="15" t="n"/>
      <c r="I3" s="16" t="n">
        <v>2</v>
      </c>
      <c r="J3" s="10" t="inlineStr">
        <is>
          <t>T001</t>
        </is>
      </c>
      <c r="K3" s="9" t="inlineStr">
        <is>
          <t>1 Fondasi</t>
        </is>
      </c>
      <c r="L3" s="17" t="inlineStr">
        <is>
          <t>Belum mulai</t>
        </is>
      </c>
    </row>
    <row r="4">
      <c r="A4" s="9" t="inlineStr">
        <is>
          <t>T003</t>
        </is>
      </c>
      <c r="B4" s="9" t="inlineStr">
        <is>
          <t>F00</t>
        </is>
      </c>
      <c r="C4" s="10">
        <f>INDEX(Fitur!$B$2:$B$17,MATCH(B4,Fitur!$A$2:$A$17,0))</f>
        <v/>
      </c>
      <c r="D4" s="9">
        <f>INDEX(Fitur!$C$2:$C$17,MATCH(B4,Fitur!$A$2:$A$17,0))</f>
        <v/>
      </c>
      <c r="E4" s="10" t="inlineStr">
        <is>
          <t>Repository contract dan implementasi Prisma</t>
        </is>
      </c>
      <c r="F4" s="10" t="inlineStr">
        <is>
          <t>Contract di src/domain, implementasi di src/infrastructure untuk claims, findings, decisions, documents</t>
        </is>
      </c>
      <c r="G4" s="9" t="inlineStr">
        <is>
          <t>Backend</t>
        </is>
      </c>
      <c r="H4" s="15" t="n"/>
      <c r="I4" s="16" t="n">
        <v>4</v>
      </c>
      <c r="J4" s="10" t="inlineStr">
        <is>
          <t>T002</t>
        </is>
      </c>
      <c r="K4" s="9" t="inlineStr">
        <is>
          <t>1 Fondasi</t>
        </is>
      </c>
      <c r="L4" s="17" t="inlineStr">
        <is>
          <t>Belum mulai</t>
        </is>
      </c>
    </row>
    <row r="5">
      <c r="A5" s="9" t="inlineStr">
        <is>
          <t>T004</t>
        </is>
      </c>
      <c r="B5" s="9" t="inlineStr">
        <is>
          <t>F00</t>
        </is>
      </c>
      <c r="C5" s="10">
        <f>INDEX(Fitur!$B$2:$B$17,MATCH(B5,Fitur!$A$2:$A$17,0))</f>
        <v/>
      </c>
      <c r="D5" s="9">
        <f>INDEX(Fitur!$C$2:$C$17,MATCH(B5,Fitur!$A$2:$A$17,0))</f>
        <v/>
      </c>
      <c r="E5" s="10" t="inlineStr">
        <is>
          <t>Kerangka web: layout, navigasi, api-client</t>
        </is>
      </c>
      <c r="F5" s="10" t="inlineStr">
        <is>
          <t>Layout App Router, navigasi Antrean dan Ringkasan, pakai Axios di src/lib/api-client.ts dan QueryClient</t>
        </is>
      </c>
      <c r="G5" s="9" t="inlineStr">
        <is>
          <t>Frontend</t>
        </is>
      </c>
      <c r="H5" s="15" t="n"/>
      <c r="I5" s="16" t="n">
        <v>3</v>
      </c>
      <c r="J5" s="10" t="inlineStr">
        <is>
          <t>-</t>
        </is>
      </c>
      <c r="K5" s="9" t="inlineStr">
        <is>
          <t>1 Fondasi</t>
        </is>
      </c>
      <c r="L5" s="17" t="inlineStr">
        <is>
          <t>Belum mulai</t>
        </is>
      </c>
    </row>
    <row r="6">
      <c r="A6" s="9" t="inlineStr">
        <is>
          <t>T005</t>
        </is>
      </c>
      <c r="B6" s="9" t="inlineStr">
        <is>
          <t>F00</t>
        </is>
      </c>
      <c r="C6" s="10">
        <f>INDEX(Fitur!$B$2:$B$17,MATCH(B6,Fitur!$A$2:$A$17,0))</f>
        <v/>
      </c>
      <c r="D6" s="9">
        <f>INDEX(Fitur!$C$2:$C$17,MATCH(B6,Fitur!$A$2:$A$17,0))</f>
        <v/>
      </c>
      <c r="E6" s="10" t="inlineStr">
        <is>
          <t>Seed pengguna dan pemilih pengguna sederhana</t>
        </is>
      </c>
      <c r="F6" s="10" t="inlineStr">
        <is>
          <t>Seed 1 verifikator dan 1 supervisor; pilih pengguna aktif tanpa autentikasi</t>
        </is>
      </c>
      <c r="G6" s="9" t="inlineStr">
        <is>
          <t>Backend</t>
        </is>
      </c>
      <c r="H6" s="15" t="n"/>
      <c r="I6" s="16" t="n">
        <v>1</v>
      </c>
      <c r="J6" s="10" t="inlineStr">
        <is>
          <t>T002</t>
        </is>
      </c>
      <c r="K6" s="9" t="inlineStr">
        <is>
          <t>1 Fondasi</t>
        </is>
      </c>
      <c r="L6" s="17" t="inlineStr">
        <is>
          <t>Belum mulai</t>
        </is>
      </c>
    </row>
    <row r="7">
      <c r="A7" s="9" t="inlineStr">
        <is>
          <t>T010</t>
        </is>
      </c>
      <c r="B7" s="9" t="inlineStr">
        <is>
          <t>F01</t>
        </is>
      </c>
      <c r="C7" s="10">
        <f>INDEX(Fitur!$B$2:$B$17,MATCH(B7,Fitur!$A$2:$A$17,0))</f>
        <v/>
      </c>
      <c r="D7" s="9">
        <f>INDEX(Fitur!$C$2:$C$17,MATCH(B7,Fitur!$A$2:$A$17,0))</f>
        <v/>
      </c>
      <c r="E7" s="10" t="inlineStr">
        <is>
          <t>Rancang skenario dan kunci jawaban</t>
        </is>
      </c>
      <c r="F7" s="10" t="inlineStr">
        <is>
          <t>Proporsi klaim normal vs sisipan, kombinasi modus per klaim, daftar diagnosis yang dipakai</t>
        </is>
      </c>
      <c r="G7" s="9" t="inlineStr">
        <is>
          <t>AI/Data</t>
        </is>
      </c>
      <c r="H7" s="15" t="n"/>
      <c r="I7" s="16" t="n">
        <v>2</v>
      </c>
      <c r="J7" s="10" t="inlineStr">
        <is>
          <t>-</t>
        </is>
      </c>
      <c r="K7" s="9" t="inlineStr">
        <is>
          <t>2 Data &amp; AI</t>
        </is>
      </c>
      <c r="L7" s="17" t="inlineStr">
        <is>
          <t>Belum mulai</t>
        </is>
      </c>
    </row>
    <row r="8">
      <c r="A8" s="9" t="inlineStr">
        <is>
          <t>T011</t>
        </is>
      </c>
      <c r="B8" s="9" t="inlineStr">
        <is>
          <t>F01</t>
        </is>
      </c>
      <c r="C8" s="10">
        <f>INDEX(Fitur!$B$2:$B$17,MATCH(B8,Fitur!$A$2:$A$17,0))</f>
        <v/>
      </c>
      <c r="D8" s="9">
        <f>INDEX(Fitur!$C$2:$C$17,MATCH(B8,Fitur!$A$2:$A$17,0))</f>
        <v/>
      </c>
      <c r="E8" s="10" t="inlineStr">
        <is>
          <t>Generate faskes dan pasien sintetis</t>
        </is>
      </c>
      <c r="F8" s="10" t="inlineStr">
        <is>
          <t>Beberapa faskes dengan tipe berbeda dan pasien dengan identitas sintetis</t>
        </is>
      </c>
      <c r="G8" s="9" t="inlineStr">
        <is>
          <t>AI/Data</t>
        </is>
      </c>
      <c r="H8" s="15" t="n"/>
      <c r="I8" s="16" t="n">
        <v>2</v>
      </c>
      <c r="J8" s="10" t="inlineStr">
        <is>
          <t>T010</t>
        </is>
      </c>
      <c r="K8" s="9" t="inlineStr">
        <is>
          <t>2 Data &amp; AI</t>
        </is>
      </c>
      <c r="L8" s="17" t="inlineStr">
        <is>
          <t>Belum mulai</t>
        </is>
      </c>
    </row>
    <row r="9">
      <c r="A9" s="9" t="inlineStr">
        <is>
          <t>T012</t>
        </is>
      </c>
      <c r="B9" s="9" t="inlineStr">
        <is>
          <t>F01</t>
        </is>
      </c>
      <c r="C9" s="10">
        <f>INDEX(Fitur!$B$2:$B$17,MATCH(B9,Fitur!$A$2:$A$17,0))</f>
        <v/>
      </c>
      <c r="D9" s="9">
        <f>INDEX(Fitur!$C$2:$C$17,MATCH(B9,Fitur!$A$2:$A$17,0))</f>
        <v/>
      </c>
      <c r="E9" s="10" t="inlineStr">
        <is>
          <t>Template dokumen klinis</t>
        </is>
      </c>
      <c r="F9" s="10" t="inlineStr">
        <is>
          <t>Template resume medis, catatan pemeriksaan, catatan harian, resep, tindakan, dengan variasi kalimat dari model bahasa</t>
        </is>
      </c>
      <c r="G9" s="9" t="inlineStr">
        <is>
          <t>AI/Data</t>
        </is>
      </c>
      <c r="H9" s="15" t="n"/>
      <c r="I9" s="16" t="n">
        <v>6</v>
      </c>
      <c r="J9" s="10" t="inlineStr">
        <is>
          <t>T010</t>
        </is>
      </c>
      <c r="K9" s="9" t="inlineStr">
        <is>
          <t>2 Data &amp; AI</t>
        </is>
      </c>
      <c r="L9" s="17" t="inlineStr">
        <is>
          <t>Belum mulai</t>
        </is>
      </c>
    </row>
    <row r="10">
      <c r="A10" s="9" t="inlineStr">
        <is>
          <t>T013</t>
        </is>
      </c>
      <c r="B10" s="9" t="inlineStr">
        <is>
          <t>F01</t>
        </is>
      </c>
      <c r="C10" s="10">
        <f>INDEX(Fitur!$B$2:$B$17,MATCH(B10,Fitur!$A$2:$A$17,0))</f>
        <v/>
      </c>
      <c r="D10" s="9">
        <f>INDEX(Fitur!$C$2:$C$17,MATCH(B10,Fitur!$A$2:$A$17,0))</f>
        <v/>
      </c>
      <c r="E10" s="10" t="inlineStr">
        <is>
          <t>Sisipkan kasus upcoding (UC-1)</t>
        </is>
      </c>
      <c r="F10" s="10" t="inlineStr">
        <is>
          <t>DBD dengan diagnosis sekunder syok tanpa resusitasi cairan, pemantauan ketat, atau tanda vital menurun</t>
        </is>
      </c>
      <c r="G10" s="9" t="inlineStr">
        <is>
          <t>AI/Data</t>
        </is>
      </c>
      <c r="H10" s="15" t="n"/>
      <c r="I10" s="16" t="n">
        <v>2</v>
      </c>
      <c r="J10" s="10" t="inlineStr">
        <is>
          <t>T012</t>
        </is>
      </c>
      <c r="K10" s="9" t="inlineStr">
        <is>
          <t>2 Data &amp; AI</t>
        </is>
      </c>
      <c r="L10" s="17" t="inlineStr">
        <is>
          <t>Belum mulai</t>
        </is>
      </c>
    </row>
    <row r="11">
      <c r="A11" s="9" t="inlineStr">
        <is>
          <t>T014</t>
        </is>
      </c>
      <c r="B11" s="9" t="inlineStr">
        <is>
          <t>F01</t>
        </is>
      </c>
      <c r="C11" s="10">
        <f>INDEX(Fitur!$B$2:$B$17,MATCH(B11,Fitur!$A$2:$A$17,0))</f>
        <v/>
      </c>
      <c r="D11" s="9">
        <f>INDEX(Fitur!$C$2:$C$17,MATCH(B11,Fitur!$A$2:$A$17,0))</f>
        <v/>
      </c>
      <c r="E11" s="10" t="inlineStr">
        <is>
          <t>Sisipkan kasus manipulasi pemeriksaan (UC-2)</t>
        </is>
      </c>
      <c r="F11" s="10" t="inlineStr">
        <is>
          <t>Pneumonia: resume menulis sesak berat, catatan harian menulis tidak sesak, tanpa oksigen</t>
        </is>
      </c>
      <c r="G11" s="9" t="inlineStr">
        <is>
          <t>AI/Data</t>
        </is>
      </c>
      <c r="H11" s="15" t="n"/>
      <c r="I11" s="16" t="n">
        <v>2</v>
      </c>
      <c r="J11" s="10" t="inlineStr">
        <is>
          <t>T012</t>
        </is>
      </c>
      <c r="K11" s="9" t="inlineStr">
        <is>
          <t>2 Data &amp; AI</t>
        </is>
      </c>
      <c r="L11" s="17" t="inlineStr">
        <is>
          <t>Belum mulai</t>
        </is>
      </c>
    </row>
    <row r="12">
      <c r="A12" s="9" t="inlineStr">
        <is>
          <t>T015</t>
        </is>
      </c>
      <c r="B12" s="9" t="inlineStr">
        <is>
          <t>F01</t>
        </is>
      </c>
      <c r="C12" s="10">
        <f>INDEX(Fitur!$B$2:$B$17,MATCH(B12,Fitur!$A$2:$A$17,0))</f>
        <v/>
      </c>
      <c r="D12" s="9">
        <f>INDEX(Fitur!$C$2:$C$17,MATCH(B12,Fitur!$A$2:$A$17,0))</f>
        <v/>
      </c>
      <c r="E12" s="10" t="inlineStr">
        <is>
          <t>Sisipkan kasus cloning (UC-3)</t>
        </is>
      </c>
      <c r="F12" s="10" t="inlineStr">
        <is>
          <t>Belasan klaim satu faskes dalam satu bulan, pasien berbeda, anamnesis dan resep hampir sama</t>
        </is>
      </c>
      <c r="G12" s="9" t="inlineStr">
        <is>
          <t>AI/Data</t>
        </is>
      </c>
      <c r="H12" s="15" t="n"/>
      <c r="I12" s="16" t="n">
        <v>2</v>
      </c>
      <c r="J12" s="10" t="inlineStr">
        <is>
          <t>T012</t>
        </is>
      </c>
      <c r="K12" s="9" t="inlineStr">
        <is>
          <t>2 Data &amp; AI</t>
        </is>
      </c>
      <c r="L12" s="17" t="inlineStr">
        <is>
          <t>Belum mulai</t>
        </is>
      </c>
    </row>
    <row r="13">
      <c r="A13" s="9" t="inlineStr">
        <is>
          <t>T016</t>
        </is>
      </c>
      <c r="B13" s="9" t="inlineStr">
        <is>
          <t>F01</t>
        </is>
      </c>
      <c r="C13" s="10">
        <f>INDEX(Fitur!$B$2:$B$17,MATCH(B13,Fitur!$A$2:$A$17,0))</f>
        <v/>
      </c>
      <c r="D13" s="9">
        <f>INDEX(Fitur!$C$2:$C$17,MATCH(B13,Fitur!$A$2:$A$17,0))</f>
        <v/>
      </c>
      <c r="E13" s="10" t="inlineStr">
        <is>
          <t>Sisipkan kasus wajar yang tertandai (UC-4)</t>
        </is>
      </c>
      <c r="F13" s="10" t="inlineStr">
        <is>
          <t>Bukti tertulis di catatan dengan format yang sulit dibaca sistem</t>
        </is>
      </c>
      <c r="G13" s="9" t="inlineStr">
        <is>
          <t>AI/Data</t>
        </is>
      </c>
      <c r="H13" s="15" t="n"/>
      <c r="I13" s="16" t="n">
        <v>1</v>
      </c>
      <c r="J13" s="10" t="inlineStr">
        <is>
          <t>T012</t>
        </is>
      </c>
      <c r="K13" s="9" t="inlineStr">
        <is>
          <t>2 Data &amp; AI</t>
        </is>
      </c>
      <c r="L13" s="17" t="inlineStr">
        <is>
          <t>Belum mulai</t>
        </is>
      </c>
    </row>
    <row r="14">
      <c r="A14" s="9" t="inlineStr">
        <is>
          <t>T017</t>
        </is>
      </c>
      <c r="B14" s="9" t="inlineStr">
        <is>
          <t>F01</t>
        </is>
      </c>
      <c r="C14" s="10">
        <f>INDEX(Fitur!$B$2:$B$17,MATCH(B14,Fitur!$A$2:$A$17,0))</f>
        <v/>
      </c>
      <c r="D14" s="9">
        <f>INDEX(Fitur!$C$2:$C$17,MATCH(B14,Fitur!$A$2:$A$17,0))</f>
        <v/>
      </c>
      <c r="E14" s="10" t="inlineStr">
        <is>
          <t>Script seed ke database</t>
        </is>
      </c>
      <c r="F14" s="10" t="inlineStr">
        <is>
          <t>npm script yang mengisi semua tabel sumber dan bisa dijalankan ulang; cek jumlah per skenario</t>
        </is>
      </c>
      <c r="G14" s="9" t="inlineStr">
        <is>
          <t>Backend</t>
        </is>
      </c>
      <c r="H14" s="15" t="n"/>
      <c r="I14" s="16" t="n">
        <v>2</v>
      </c>
      <c r="J14" s="10" t="inlineStr">
        <is>
          <t>T003, T013, T014, T015, T016</t>
        </is>
      </c>
      <c r="K14" s="9" t="inlineStr">
        <is>
          <t>2 Data &amp; AI</t>
        </is>
      </c>
      <c r="L14" s="17" t="inlineStr">
        <is>
          <t>Belum mulai</t>
        </is>
      </c>
    </row>
    <row r="15">
      <c r="A15" s="9" t="inlineStr">
        <is>
          <t>T020</t>
        </is>
      </c>
      <c r="B15" s="9" t="inlineStr">
        <is>
          <t>F02</t>
        </is>
      </c>
      <c r="C15" s="10">
        <f>INDEX(Fitur!$B$2:$B$17,MATCH(B15,Fitur!$A$2:$A$17,0))</f>
        <v/>
      </c>
      <c r="D15" s="9">
        <f>INDEX(Fitur!$C$2:$C$17,MATCH(B15,Fitur!$A$2:$A$17,0))</f>
        <v/>
      </c>
      <c r="E15" s="10" t="inlineStr">
        <is>
          <t>Port dan adapter model bahasa</t>
        </is>
      </c>
      <c r="F15" s="10" t="inlineStr">
        <is>
          <t>Port di src/application, adapter di src/infrastructure; kredensial dan URL lewat @nestjs/config</t>
        </is>
      </c>
      <c r="G15" s="9" t="inlineStr">
        <is>
          <t>Backend</t>
        </is>
      </c>
      <c r="H15" s="15" t="n"/>
      <c r="I15" s="16" t="n">
        <v>3</v>
      </c>
      <c r="J15" s="10" t="inlineStr">
        <is>
          <t>T003</t>
        </is>
      </c>
      <c r="K15" s="9" t="inlineStr">
        <is>
          <t>2 Data &amp; AI</t>
        </is>
      </c>
      <c r="L15" s="17" t="inlineStr">
        <is>
          <t>Belum mulai</t>
        </is>
      </c>
    </row>
    <row r="16">
      <c r="A16" s="9" t="inlineStr">
        <is>
          <t>T021</t>
        </is>
      </c>
      <c r="B16" s="9" t="inlineStr">
        <is>
          <t>F02</t>
        </is>
      </c>
      <c r="C16" s="10">
        <f>INDEX(Fitur!$B$2:$B$17,MATCH(B16,Fitur!$A$2:$A$17,0))</f>
        <v/>
      </c>
      <c r="D16" s="9">
        <f>INDEX(Fitur!$C$2:$C$17,MATCH(B16,Fitur!$A$2:$A$17,0))</f>
        <v/>
      </c>
      <c r="E16" s="10" t="inlineStr">
        <is>
          <t>Prompt dan skema output ekstraksi</t>
        </is>
      </c>
      <c r="F16" s="10" t="inlineStr">
        <is>
          <t>Output terstruktur: diagnosis, pemeriksaan, obat, tindakan, waktu, kutipan asli per butir</t>
        </is>
      </c>
      <c r="G16" s="9" t="inlineStr">
        <is>
          <t>AI/Data</t>
        </is>
      </c>
      <c r="H16" s="15" t="n"/>
      <c r="I16" s="16" t="n">
        <v>4</v>
      </c>
      <c r="J16" s="10" t="inlineStr">
        <is>
          <t>T012</t>
        </is>
      </c>
      <c r="K16" s="9" t="inlineStr">
        <is>
          <t>2 Data &amp; AI</t>
        </is>
      </c>
      <c r="L16" s="17" t="inlineStr">
        <is>
          <t>Belum mulai</t>
        </is>
      </c>
    </row>
    <row r="17">
      <c r="A17" s="9" t="inlineStr">
        <is>
          <t>T022</t>
        </is>
      </c>
      <c r="B17" s="9" t="inlineStr">
        <is>
          <t>F02</t>
        </is>
      </c>
      <c r="C17" s="10">
        <f>INDEX(Fitur!$B$2:$B$17,MATCH(B17,Fitur!$A$2:$A$17,0))</f>
        <v/>
      </c>
      <c r="D17" s="9">
        <f>INDEX(Fitur!$C$2:$C$17,MATCH(B17,Fitur!$A$2:$A$17,0))</f>
        <v/>
      </c>
      <c r="E17" s="10" t="inlineStr">
        <is>
          <t>Use case ekstraksi per klaim</t>
        </is>
      </c>
      <c r="F17" s="10" t="inlineStr">
        <is>
          <t>Simpan ke clinical_documents.extracted; tangani respons gagal tanpa menghentikan proses</t>
        </is>
      </c>
      <c r="G17" s="9" t="inlineStr">
        <is>
          <t>Backend</t>
        </is>
      </c>
      <c r="H17" s="15" t="n"/>
      <c r="I17" s="16" t="n">
        <v>3</v>
      </c>
      <c r="J17" s="10" t="inlineStr">
        <is>
          <t>T020, T021</t>
        </is>
      </c>
      <c r="K17" s="9" t="inlineStr">
        <is>
          <t>2 Data &amp; AI</t>
        </is>
      </c>
      <c r="L17" s="17" t="inlineStr">
        <is>
          <t>Belum mulai</t>
        </is>
      </c>
    </row>
    <row r="18">
      <c r="A18" s="9" t="inlineStr">
        <is>
          <t>T023</t>
        </is>
      </c>
      <c r="B18" s="9" t="inlineStr">
        <is>
          <t>F02</t>
        </is>
      </c>
      <c r="C18" s="10">
        <f>INDEX(Fitur!$B$2:$B$17,MATCH(B18,Fitur!$A$2:$A$17,0))</f>
        <v/>
      </c>
      <c r="D18" s="9">
        <f>INDEX(Fitur!$C$2:$C$17,MATCH(B18,Fitur!$A$2:$A$17,0))</f>
        <v/>
      </c>
      <c r="E18" s="10" t="inlineStr">
        <is>
          <t>Validasi hasil ekstraksi</t>
        </is>
      </c>
      <c r="F18" s="10" t="inlineStr">
        <is>
          <t>Bandingkan sampel hasil ekstraksi dengan isi dokumen sintetis, catat kesalahan baca</t>
        </is>
      </c>
      <c r="G18" s="9" t="inlineStr">
        <is>
          <t>QA/PM</t>
        </is>
      </c>
      <c r="H18" s="15" t="n"/>
      <c r="I18" s="16" t="n">
        <v>2</v>
      </c>
      <c r="J18" s="10" t="inlineStr">
        <is>
          <t>T022</t>
        </is>
      </c>
      <c r="K18" s="9" t="inlineStr">
        <is>
          <t>2 Data &amp; AI</t>
        </is>
      </c>
      <c r="L18" s="17" t="inlineStr">
        <is>
          <t>Belum mulai</t>
        </is>
      </c>
    </row>
    <row r="19">
      <c r="A19" s="9" t="inlineStr">
        <is>
          <t>T030</t>
        </is>
      </c>
      <c r="B19" s="9" t="inlineStr">
        <is>
          <t>F03</t>
        </is>
      </c>
      <c r="C19" s="10">
        <f>INDEX(Fitur!$B$2:$B$17,MATCH(B19,Fitur!$A$2:$A$17,0))</f>
        <v/>
      </c>
      <c r="D19" s="9">
        <f>INDEX(Fitur!$C$2:$C$17,MATCH(B19,Fitur!$A$2:$A$17,0))</f>
        <v/>
      </c>
      <c r="E19" s="10" t="inlineStr">
        <is>
          <t>Susun tabel bukti klinis</t>
        </is>
      </c>
      <c r="F19" s="10" t="inlineStr">
        <is>
          <t>Isi evidence_rules untuk diagnosis sekunder terpilih beserta rujukan pedoman klinis</t>
        </is>
      </c>
      <c r="G19" s="9" t="inlineStr">
        <is>
          <t>AI/Data</t>
        </is>
      </c>
      <c r="H19" s="15" t="n"/>
      <c r="I19" s="16" t="n">
        <v>4</v>
      </c>
      <c r="J19" s="10" t="inlineStr">
        <is>
          <t>T010</t>
        </is>
      </c>
      <c r="K19" s="9" t="inlineStr">
        <is>
          <t>3 Uji &amp; Skor</t>
        </is>
      </c>
      <c r="L19" s="17" t="inlineStr">
        <is>
          <t>Belum mulai</t>
        </is>
      </c>
    </row>
    <row r="20">
      <c r="A20" s="9" t="inlineStr">
        <is>
          <t>T031</t>
        </is>
      </c>
      <c r="B20" s="9" t="inlineStr">
        <is>
          <t>F03</t>
        </is>
      </c>
      <c r="C20" s="10">
        <f>INDEX(Fitur!$B$2:$B$17,MATCH(B20,Fitur!$A$2:$A$17,0))</f>
        <v/>
      </c>
      <c r="D20" s="9">
        <f>INDEX(Fitur!$C$2:$C$17,MATCH(B20,Fitur!$A$2:$A$17,0))</f>
        <v/>
      </c>
      <c r="E20" s="10" t="inlineStr">
        <is>
          <t>Use case Uji Ada</t>
        </is>
      </c>
      <c r="F20" s="10" t="inlineStr">
        <is>
          <t>Cocokkan diagnosis sekunder dengan bukti hasil ekstraksi, tulis findings EXISTENCE dengan diagnosis_id dan kutipan</t>
        </is>
      </c>
      <c r="G20" s="9" t="inlineStr">
        <is>
          <t>Backend</t>
        </is>
      </c>
      <c r="H20" s="15" t="n"/>
      <c r="I20" s="16" t="n">
        <v>4</v>
      </c>
      <c r="J20" s="10" t="inlineStr">
        <is>
          <t>T022, T030</t>
        </is>
      </c>
      <c r="K20" s="9" t="inlineStr">
        <is>
          <t>3 Uji &amp; Skor</t>
        </is>
      </c>
      <c r="L20" s="17" t="inlineStr">
        <is>
          <t>Belum mulai</t>
        </is>
      </c>
    </row>
    <row r="21">
      <c r="A21" s="9" t="inlineStr">
        <is>
          <t>T032</t>
        </is>
      </c>
      <c r="B21" s="9" t="inlineStr">
        <is>
          <t>F03</t>
        </is>
      </c>
      <c r="C21" s="10">
        <f>INDEX(Fitur!$B$2:$B$17,MATCH(B21,Fitur!$A$2:$A$17,0))</f>
        <v/>
      </c>
      <c r="D21" s="9">
        <f>INDEX(Fitur!$C$2:$C$17,MATCH(B21,Fitur!$A$2:$A$17,0))</f>
        <v/>
      </c>
      <c r="E21" s="10" t="inlineStr">
        <is>
          <t>Unit test Uji Ada</t>
        </is>
      </c>
      <c r="F21" s="10" t="inlineStr">
        <is>
          <t>Kasus bukti lengkap, bukti kurang, dan diagnosis tanpa aturan</t>
        </is>
      </c>
      <c r="G21" s="9" t="inlineStr">
        <is>
          <t>Backend</t>
        </is>
      </c>
      <c r="H21" s="15" t="n"/>
      <c r="I21" s="16" t="n">
        <v>2</v>
      </c>
      <c r="J21" s="10" t="inlineStr">
        <is>
          <t>T031</t>
        </is>
      </c>
      <c r="K21" s="9" t="inlineStr">
        <is>
          <t>3 Uji &amp; Skor</t>
        </is>
      </c>
      <c r="L21" s="17" t="inlineStr">
        <is>
          <t>Belum mulai</t>
        </is>
      </c>
    </row>
    <row r="22">
      <c r="A22" s="9" t="inlineStr">
        <is>
          <t>T040</t>
        </is>
      </c>
      <c r="B22" s="9" t="inlineStr">
        <is>
          <t>F04</t>
        </is>
      </c>
      <c r="C22" s="10">
        <f>INDEX(Fitur!$B$2:$B$17,MATCH(B22,Fitur!$A$2:$A$17,0))</f>
        <v/>
      </c>
      <c r="D22" s="9">
        <f>INDEX(Fitur!$C$2:$C$17,MATCH(B22,Fitur!$A$2:$A$17,0))</f>
        <v/>
      </c>
      <c r="E22" s="10" t="inlineStr">
        <is>
          <t>Definisikan aturan konsistensi</t>
        </is>
      </c>
      <c r="F22" s="10" t="inlineStr">
        <is>
          <t>Temuan hanya di resume, temuan tanpa tindakan, waktu pemeriksaan tidak masuk akal</t>
        </is>
      </c>
      <c r="G22" s="9" t="inlineStr">
        <is>
          <t>AI/Data</t>
        </is>
      </c>
      <c r="H22" s="15" t="n"/>
      <c r="I22" s="16" t="n">
        <v>3</v>
      </c>
      <c r="J22" s="10" t="inlineStr">
        <is>
          <t>T021</t>
        </is>
      </c>
      <c r="K22" s="9" t="inlineStr">
        <is>
          <t>3 Uji &amp; Skor</t>
        </is>
      </c>
      <c r="L22" s="17" t="inlineStr">
        <is>
          <t>Belum mulai</t>
        </is>
      </c>
    </row>
    <row r="23">
      <c r="A23" s="9" t="inlineStr">
        <is>
          <t>T041</t>
        </is>
      </c>
      <c r="B23" s="9" t="inlineStr">
        <is>
          <t>F04</t>
        </is>
      </c>
      <c r="C23" s="10">
        <f>INDEX(Fitur!$B$2:$B$17,MATCH(B23,Fitur!$A$2:$A$17,0))</f>
        <v/>
      </c>
      <c r="D23" s="9">
        <f>INDEX(Fitur!$C$2:$C$17,MATCH(B23,Fitur!$A$2:$A$17,0))</f>
        <v/>
      </c>
      <c r="E23" s="10" t="inlineStr">
        <is>
          <t>Use case Uji Konsisten</t>
        </is>
      </c>
      <c r="F23" s="10" t="inlineStr">
        <is>
          <t>Tulis findings CONSISTENCY dengan document_id (dicurigai) dan related_document_id (pembanding)</t>
        </is>
      </c>
      <c r="G23" s="9" t="inlineStr">
        <is>
          <t>Backend</t>
        </is>
      </c>
      <c r="H23" s="15" t="n"/>
      <c r="I23" s="16" t="n">
        <v>5</v>
      </c>
      <c r="J23" s="10" t="inlineStr">
        <is>
          <t>T022, T040</t>
        </is>
      </c>
      <c r="K23" s="9" t="inlineStr">
        <is>
          <t>3 Uji &amp; Skor</t>
        </is>
      </c>
      <c r="L23" s="17" t="inlineStr">
        <is>
          <t>Belum mulai</t>
        </is>
      </c>
    </row>
    <row r="24">
      <c r="A24" s="9" t="inlineStr">
        <is>
          <t>T042</t>
        </is>
      </c>
      <c r="B24" s="9" t="inlineStr">
        <is>
          <t>F04</t>
        </is>
      </c>
      <c r="C24" s="10">
        <f>INDEX(Fitur!$B$2:$B$17,MATCH(B24,Fitur!$A$2:$A$17,0))</f>
        <v/>
      </c>
      <c r="D24" s="9">
        <f>INDEX(Fitur!$C$2:$C$17,MATCH(B24,Fitur!$A$2:$A$17,0))</f>
        <v/>
      </c>
      <c r="E24" s="10" t="inlineStr">
        <is>
          <t>Unit test Uji Konsisten</t>
        </is>
      </c>
      <c r="F24" s="10" t="inlineStr">
        <is>
          <t>Satu test per aturan konsistensi</t>
        </is>
      </c>
      <c r="G24" s="9" t="inlineStr">
        <is>
          <t>Backend</t>
        </is>
      </c>
      <c r="H24" s="15" t="n"/>
      <c r="I24" s="16" t="n">
        <v>2</v>
      </c>
      <c r="J24" s="10" t="inlineStr">
        <is>
          <t>T041</t>
        </is>
      </c>
      <c r="K24" s="9" t="inlineStr">
        <is>
          <t>3 Uji &amp; Skor</t>
        </is>
      </c>
      <c r="L24" s="17" t="inlineStr">
        <is>
          <t>Belum mulai</t>
        </is>
      </c>
    </row>
    <row r="25">
      <c r="A25" s="9" t="inlineStr">
        <is>
          <t>T050</t>
        </is>
      </c>
      <c r="B25" s="9" t="inlineStr">
        <is>
          <t>F05</t>
        </is>
      </c>
      <c r="C25" s="10">
        <f>INDEX(Fitur!$B$2:$B$17,MATCH(B25,Fitur!$A$2:$A$17,0))</f>
        <v/>
      </c>
      <c r="D25" s="9">
        <f>INDEX(Fitur!$C$2:$C$17,MATCH(B25,Fitur!$A$2:$A$17,0))</f>
        <v/>
      </c>
      <c r="E25" s="10" t="inlineStr">
        <is>
          <t>Pilih metode kemiripan teks</t>
        </is>
      </c>
      <c r="F25" s="10" t="inlineStr">
        <is>
          <t>Mis. TF-IDF cosine atau shingling untuk resume dan resep; tentukan ambang awal</t>
        </is>
      </c>
      <c r="G25" s="9" t="inlineStr">
        <is>
          <t>AI/Data</t>
        </is>
      </c>
      <c r="H25" s="15" t="n"/>
      <c r="I25" s="16" t="n">
        <v>3</v>
      </c>
      <c r="J25" s="10" t="inlineStr">
        <is>
          <t>T012</t>
        </is>
      </c>
      <c r="K25" s="9" t="inlineStr">
        <is>
          <t>3 Uji &amp; Skor</t>
        </is>
      </c>
      <c r="L25" s="17" t="inlineStr">
        <is>
          <t>Belum mulai</t>
        </is>
      </c>
    </row>
    <row r="26">
      <c r="A26" s="9" t="inlineStr">
        <is>
          <t>T051</t>
        </is>
      </c>
      <c r="B26" s="9" t="inlineStr">
        <is>
          <t>F05</t>
        </is>
      </c>
      <c r="C26" s="10">
        <f>INDEX(Fitur!$B$2:$B$17,MATCH(B26,Fitur!$A$2:$A$17,0))</f>
        <v/>
      </c>
      <c r="D26" s="9">
        <f>INDEX(Fitur!$C$2:$C$17,MATCH(B26,Fitur!$A$2:$A$17,0))</f>
        <v/>
      </c>
      <c r="E26" s="10" t="inlineStr">
        <is>
          <t>Use case Uji Bukan Salinan</t>
        </is>
      </c>
      <c r="F26" s="10" t="inlineStr">
        <is>
          <t>Bandingkan antar pasien berbeda, simpan dua arah, upsert berdasarkan unique agar tidak dobel</t>
        </is>
      </c>
      <c r="G26" s="9" t="inlineStr">
        <is>
          <t>Backend</t>
        </is>
      </c>
      <c r="H26" s="15" t="n"/>
      <c r="I26" s="16" t="n">
        <v>4</v>
      </c>
      <c r="J26" s="10" t="inlineStr">
        <is>
          <t>T003, T050</t>
        </is>
      </c>
      <c r="K26" s="9" t="inlineStr">
        <is>
          <t>3 Uji &amp; Skor</t>
        </is>
      </c>
      <c r="L26" s="17" t="inlineStr">
        <is>
          <t>Belum mulai</t>
        </is>
      </c>
    </row>
    <row r="27">
      <c r="A27" s="9" t="inlineStr">
        <is>
          <t>T052</t>
        </is>
      </c>
      <c r="B27" s="9" t="inlineStr">
        <is>
          <t>F05</t>
        </is>
      </c>
      <c r="C27" s="10">
        <f>INDEX(Fitur!$B$2:$B$17,MATCH(B27,Fitur!$A$2:$A$17,0))</f>
        <v/>
      </c>
      <c r="D27" s="9">
        <f>INDEX(Fitur!$C$2:$C$17,MATCH(B27,Fitur!$A$2:$A$17,0))</f>
        <v/>
      </c>
      <c r="E27" s="10" t="inlineStr">
        <is>
          <t>Kalibrasi ambang kemiripan</t>
        </is>
      </c>
      <c r="F27" s="10" t="inlineStr">
        <is>
          <t>Uji ambang pada data sintetis agar kluster UC-3 terdeteksi tanpa banyak salah tanda</t>
        </is>
      </c>
      <c r="G27" s="9" t="inlineStr">
        <is>
          <t>AI/Data</t>
        </is>
      </c>
      <c r="H27" s="15" t="n"/>
      <c r="I27" s="16" t="n">
        <v>2</v>
      </c>
      <c r="J27" s="10" t="inlineStr">
        <is>
          <t>T051</t>
        </is>
      </c>
      <c r="K27" s="9" t="inlineStr">
        <is>
          <t>3 Uji &amp; Skor</t>
        </is>
      </c>
      <c r="L27" s="17" t="inlineStr">
        <is>
          <t>Belum mulai</t>
        </is>
      </c>
    </row>
    <row r="28">
      <c r="A28" s="9" t="inlineStr">
        <is>
          <t>T060</t>
        </is>
      </c>
      <c r="B28" s="9" t="inlineStr">
        <is>
          <t>F06</t>
        </is>
      </c>
      <c r="C28" s="10">
        <f>INDEX(Fitur!$B$2:$B$17,MATCH(B28,Fitur!$A$2:$A$17,0))</f>
        <v/>
      </c>
      <c r="D28" s="9">
        <f>INDEX(Fitur!$C$2:$C$17,MATCH(B28,Fitur!$A$2:$A$17,0))</f>
        <v/>
      </c>
      <c r="E28" s="10" t="inlineStr">
        <is>
          <t>Tarif sintetis per severity</t>
        </is>
      </c>
      <c r="F28" s="10" t="inlineStr">
        <is>
          <t>Konstanta tarif per kelompok INA-CBG dan severity yang dipakai dataset, disimpan sebagai konfigurasi</t>
        </is>
      </c>
      <c r="G28" s="9" t="inlineStr">
        <is>
          <t>AI/Data</t>
        </is>
      </c>
      <c r="H28" s="15" t="n"/>
      <c r="I28" s="16" t="n">
        <v>2</v>
      </c>
      <c r="J28" s="10" t="inlineStr">
        <is>
          <t>T010</t>
        </is>
      </c>
      <c r="K28" s="9" t="inlineStr">
        <is>
          <t>3 Uji &amp; Skor</t>
        </is>
      </c>
      <c r="L28" s="17" t="inlineStr">
        <is>
          <t>Belum mulai</t>
        </is>
      </c>
    </row>
    <row r="29">
      <c r="A29" s="9" t="inlineStr">
        <is>
          <t>T061</t>
        </is>
      </c>
      <c r="B29" s="9" t="inlineStr">
        <is>
          <t>F06</t>
        </is>
      </c>
      <c r="C29" s="10">
        <f>INDEX(Fitur!$B$2:$B$17,MATCH(B29,Fitur!$A$2:$A$17,0))</f>
        <v/>
      </c>
      <c r="D29" s="9">
        <f>INDEX(Fitur!$C$2:$C$17,MATCH(B29,Fitur!$A$2:$A$17,0))</f>
        <v/>
      </c>
      <c r="E29" s="10" t="inlineStr">
        <is>
          <t>Hitung selisih tarif</t>
        </is>
      </c>
      <c r="F29" s="10" t="inlineStr">
        <is>
          <t>Isi findings.tariff_gap untuk Uji Ada dan claims.potential_gap per klaim</t>
        </is>
      </c>
      <c r="G29" s="9" t="inlineStr">
        <is>
          <t>Backend</t>
        </is>
      </c>
      <c r="H29" s="15" t="n"/>
      <c r="I29" s="16" t="n">
        <v>3</v>
      </c>
      <c r="J29" s="10" t="inlineStr">
        <is>
          <t>T031, T060</t>
        </is>
      </c>
      <c r="K29" s="9" t="inlineStr">
        <is>
          <t>3 Uji &amp; Skor</t>
        </is>
      </c>
      <c r="L29" s="17" t="inlineStr">
        <is>
          <t>Belum mulai</t>
        </is>
      </c>
    </row>
    <row r="30">
      <c r="A30" s="9" t="inlineStr">
        <is>
          <t>T070</t>
        </is>
      </c>
      <c r="B30" s="9" t="inlineStr">
        <is>
          <t>F07</t>
        </is>
      </c>
      <c r="C30" s="10">
        <f>INDEX(Fitur!$B$2:$B$17,MATCH(B30,Fitur!$A$2:$A$17,0))</f>
        <v/>
      </c>
      <c r="D30" s="9">
        <f>INDEX(Fitur!$C$2:$C$17,MATCH(B30,Fitur!$A$2:$A$17,0))</f>
        <v/>
      </c>
      <c r="E30" s="10" t="inlineStr">
        <is>
          <t>Rumus skor prioritas</t>
        </is>
      </c>
      <c r="F30" s="10" t="inlineStr">
        <is>
          <t>Gabungkan strength tiga uji dan potential_gap menjadi priority_score</t>
        </is>
      </c>
      <c r="G30" s="9" t="inlineStr">
        <is>
          <t>AI/Data</t>
        </is>
      </c>
      <c r="H30" s="15" t="n"/>
      <c r="I30" s="16" t="n">
        <v>2</v>
      </c>
      <c r="J30" s="10" t="inlineStr">
        <is>
          <t>T031, T041, T051</t>
        </is>
      </c>
      <c r="K30" s="9" t="inlineStr">
        <is>
          <t>3 Uji &amp; Skor</t>
        </is>
      </c>
      <c r="L30" s="17" t="inlineStr">
        <is>
          <t>Belum mulai</t>
        </is>
      </c>
    </row>
    <row r="31">
      <c r="A31" s="9" t="inlineStr">
        <is>
          <t>T071</t>
        </is>
      </c>
      <c r="B31" s="9" t="inlineStr">
        <is>
          <t>F07</t>
        </is>
      </c>
      <c r="C31" s="10">
        <f>INDEX(Fitur!$B$2:$B$17,MATCH(B31,Fitur!$A$2:$A$17,0))</f>
        <v/>
      </c>
      <c r="D31" s="9">
        <f>INDEX(Fitur!$C$2:$C$17,MATCH(B31,Fitur!$A$2:$A$17,0))</f>
        <v/>
      </c>
      <c r="E31" s="10" t="inlineStr">
        <is>
          <t>Orkestrasi analisis</t>
        </is>
      </c>
      <c r="F31" s="10" t="inlineStr">
        <is>
          <t>Use case ekstraksi lalu tiga uji lalu skor; endpoint POST /analysis/run</t>
        </is>
      </c>
      <c r="G31" s="9" t="inlineStr">
        <is>
          <t>Backend</t>
        </is>
      </c>
      <c r="H31" s="15" t="n"/>
      <c r="I31" s="16" t="n">
        <v>3</v>
      </c>
      <c r="J31" s="10" t="inlineStr">
        <is>
          <t>T061, T070</t>
        </is>
      </c>
      <c r="K31" s="9" t="inlineStr">
        <is>
          <t>3 Uji &amp; Skor</t>
        </is>
      </c>
      <c r="L31" s="17" t="inlineStr">
        <is>
          <t>Belum mulai</t>
        </is>
      </c>
    </row>
    <row r="32">
      <c r="A32" s="9" t="inlineStr">
        <is>
          <t>T072</t>
        </is>
      </c>
      <c r="B32" s="9" t="inlineStr">
        <is>
          <t>F07</t>
        </is>
      </c>
      <c r="C32" s="10">
        <f>INDEX(Fitur!$B$2:$B$17,MATCH(B32,Fitur!$A$2:$A$17,0))</f>
        <v/>
      </c>
      <c r="D32" s="9">
        <f>INDEX(Fitur!$C$2:$C$17,MATCH(B32,Fitur!$A$2:$A$17,0))</f>
        <v/>
      </c>
      <c r="E32" s="10" t="inlineStr">
        <is>
          <t>Endpoint daftar klaim</t>
        </is>
      </c>
      <c r="F32" s="10" t="inlineStr">
        <is>
          <t>GET /claims urut priority_score dan potential_gap, filter status, paginasi</t>
        </is>
      </c>
      <c r="G32" s="9" t="inlineStr">
        <is>
          <t>Backend</t>
        </is>
      </c>
      <c r="H32" s="15" t="n"/>
      <c r="I32" s="16" t="n">
        <v>2</v>
      </c>
      <c r="J32" s="10" t="inlineStr">
        <is>
          <t>T071</t>
        </is>
      </c>
      <c r="K32" s="9" t="inlineStr">
        <is>
          <t>4 Antarmuka</t>
        </is>
      </c>
      <c r="L32" s="17" t="inlineStr">
        <is>
          <t>Belum mulai</t>
        </is>
      </c>
    </row>
    <row r="33">
      <c r="A33" s="9" t="inlineStr">
        <is>
          <t>T073</t>
        </is>
      </c>
      <c r="B33" s="9" t="inlineStr">
        <is>
          <t>F07</t>
        </is>
      </c>
      <c r="C33" s="10">
        <f>INDEX(Fitur!$B$2:$B$17,MATCH(B33,Fitur!$A$2:$A$17,0))</f>
        <v/>
      </c>
      <c r="D33" s="9">
        <f>INDEX(Fitur!$C$2:$C$17,MATCH(B33,Fitur!$A$2:$A$17,0))</f>
        <v/>
      </c>
      <c r="E33" s="10" t="inlineStr">
        <is>
          <t>Halaman antrean klaim</t>
        </is>
      </c>
      <c r="F33" s="10" t="inlineStr">
        <is>
          <t>Tabel antrean, label perlu klarifikasi, badge per uji, selisih rupiah, Skeleton, empty state, error</t>
        </is>
      </c>
      <c r="G33" s="9" t="inlineStr">
        <is>
          <t>Frontend</t>
        </is>
      </c>
      <c r="H33" s="15" t="n"/>
      <c r="I33" s="16" t="n">
        <v>5</v>
      </c>
      <c r="J33" s="10" t="inlineStr">
        <is>
          <t>T004, T072</t>
        </is>
      </c>
      <c r="K33" s="9" t="inlineStr">
        <is>
          <t>4 Antarmuka</t>
        </is>
      </c>
      <c r="L33" s="17" t="inlineStr">
        <is>
          <t>Belum mulai</t>
        </is>
      </c>
    </row>
    <row r="34">
      <c r="A34" s="9" t="inlineStr">
        <is>
          <t>T080</t>
        </is>
      </c>
      <c r="B34" s="9" t="inlineStr">
        <is>
          <t>F08</t>
        </is>
      </c>
      <c r="C34" s="10">
        <f>INDEX(Fitur!$B$2:$B$17,MATCH(B34,Fitur!$A$2:$A$17,0))</f>
        <v/>
      </c>
      <c r="D34" s="9">
        <f>INDEX(Fitur!$C$2:$C$17,MATCH(B34,Fitur!$A$2:$A$17,0))</f>
        <v/>
      </c>
      <c r="E34" s="10" t="inlineStr">
        <is>
          <t>Endpoint detail klaim</t>
        </is>
      </c>
      <c r="F34" s="10" t="inlineStr">
        <is>
          <t>GET /claims/:id berisi diagnosis, dokumen, findings, dan klaim mirip</t>
        </is>
      </c>
      <c r="G34" s="9" t="inlineStr">
        <is>
          <t>Backend</t>
        </is>
      </c>
      <c r="H34" s="15" t="n"/>
      <c r="I34" s="16" t="n">
        <v>3</v>
      </c>
      <c r="J34" s="10" t="inlineStr">
        <is>
          <t>T071</t>
        </is>
      </c>
      <c r="K34" s="9" t="inlineStr">
        <is>
          <t>4 Antarmuka</t>
        </is>
      </c>
      <c r="L34" s="17" t="inlineStr">
        <is>
          <t>Belum mulai</t>
        </is>
      </c>
    </row>
    <row r="35">
      <c r="A35" s="9" t="inlineStr">
        <is>
          <t>T081</t>
        </is>
      </c>
      <c r="B35" s="9" t="inlineStr">
        <is>
          <t>F08</t>
        </is>
      </c>
      <c r="C35" s="10">
        <f>INDEX(Fitur!$B$2:$B$17,MATCH(B35,Fitur!$A$2:$A$17,0))</f>
        <v/>
      </c>
      <c r="D35" s="9">
        <f>INDEX(Fitur!$C$2:$C$17,MATCH(B35,Fitur!$A$2:$A$17,0))</f>
        <v/>
      </c>
      <c r="E35" s="10" t="inlineStr">
        <is>
          <t>Layout Kartu Klaim</t>
        </is>
      </c>
      <c r="F35" s="10" t="inlineStr">
        <is>
          <t>Ringkasan klaim, severity, tarif, dan potensi selisih</t>
        </is>
      </c>
      <c r="G35" s="9" t="inlineStr">
        <is>
          <t>Frontend</t>
        </is>
      </c>
      <c r="H35" s="15" t="n"/>
      <c r="I35" s="16" t="n">
        <v>3</v>
      </c>
      <c r="J35" s="10" t="inlineStr">
        <is>
          <t>T004, T080</t>
        </is>
      </c>
      <c r="K35" s="9" t="inlineStr">
        <is>
          <t>4 Antarmuka</t>
        </is>
      </c>
      <c r="L35" s="17" t="inlineStr">
        <is>
          <t>Belum mulai</t>
        </is>
      </c>
    </row>
    <row r="36">
      <c r="A36" s="9" t="inlineStr">
        <is>
          <t>T082</t>
        </is>
      </c>
      <c r="B36" s="9" t="inlineStr">
        <is>
          <t>F08</t>
        </is>
      </c>
      <c r="C36" s="10">
        <f>INDEX(Fitur!$B$2:$B$17,MATCH(B36,Fitur!$A$2:$A$17,0))</f>
        <v/>
      </c>
      <c r="D36" s="9">
        <f>INDEX(Fitur!$C$2:$C$17,MATCH(B36,Fitur!$A$2:$A$17,0))</f>
        <v/>
      </c>
      <c r="E36" s="10" t="inlineStr">
        <is>
          <t>Panel bukti per uji</t>
        </is>
      </c>
      <c r="F36" s="10" t="inlineStr">
        <is>
          <t>Uji Ada dengan bukti yang tidak ditemukan; Uji Konsisten dengan dua kutipan berdampingan</t>
        </is>
      </c>
      <c r="G36" s="9" t="inlineStr">
        <is>
          <t>Frontend</t>
        </is>
      </c>
      <c r="H36" s="15" t="n"/>
      <c r="I36" s="16" t="n">
        <v>5</v>
      </c>
      <c r="J36" s="10" t="inlineStr">
        <is>
          <t>T081</t>
        </is>
      </c>
      <c r="K36" s="9" t="inlineStr">
        <is>
          <t>4 Antarmuka</t>
        </is>
      </c>
      <c r="L36" s="17" t="inlineStr">
        <is>
          <t>Belum mulai</t>
        </is>
      </c>
    </row>
    <row r="37">
      <c r="A37" s="9" t="inlineStr">
        <is>
          <t>T083</t>
        </is>
      </c>
      <c r="B37" s="9" t="inlineStr">
        <is>
          <t>F08</t>
        </is>
      </c>
      <c r="C37" s="10">
        <f>INDEX(Fitur!$B$2:$B$17,MATCH(B37,Fitur!$A$2:$A$17,0))</f>
        <v/>
      </c>
      <c r="D37" s="9">
        <f>INDEX(Fitur!$C$2:$C$17,MATCH(B37,Fitur!$A$2:$A$17,0))</f>
        <v/>
      </c>
      <c r="E37" s="10" t="inlineStr">
        <is>
          <t>Panel klaim mirip</t>
        </is>
      </c>
      <c r="F37" s="10" t="inlineStr">
        <is>
          <t>Daftar klaim mirip dengan skor kemiripan dan tautan ke Kartu Klaim lain</t>
        </is>
      </c>
      <c r="G37" s="9" t="inlineStr">
        <is>
          <t>Frontend</t>
        </is>
      </c>
      <c r="H37" s="15" t="n"/>
      <c r="I37" s="16" t="n">
        <v>3</v>
      </c>
      <c r="J37" s="10" t="inlineStr">
        <is>
          <t>T081</t>
        </is>
      </c>
      <c r="K37" s="9" t="inlineStr">
        <is>
          <t>4 Antarmuka</t>
        </is>
      </c>
      <c r="L37" s="17" t="inlineStr">
        <is>
          <t>Belum mulai</t>
        </is>
      </c>
    </row>
    <row r="38">
      <c r="A38" s="9" t="inlineStr">
        <is>
          <t>T090</t>
        </is>
      </c>
      <c r="B38" s="9" t="inlineStr">
        <is>
          <t>F09</t>
        </is>
      </c>
      <c r="C38" s="10">
        <f>INDEX(Fitur!$B$2:$B$17,MATCH(B38,Fitur!$A$2:$A$17,0))</f>
        <v/>
      </c>
      <c r="D38" s="9">
        <f>INDEX(Fitur!$C$2:$C$17,MATCH(B38,Fitur!$A$2:$A$17,0))</f>
        <v/>
      </c>
      <c r="E38" s="10" t="inlineStr">
        <is>
          <t>Endpoint keputusan</t>
        </is>
      </c>
      <c r="F38" s="10" t="inlineStr">
        <is>
          <t>POST /claims/:id/decisions dengan validasi DTO; perbarui claims.status</t>
        </is>
      </c>
      <c r="G38" s="9" t="inlineStr">
        <is>
          <t>Backend</t>
        </is>
      </c>
      <c r="H38" s="15" t="n"/>
      <c r="I38" s="16" t="n">
        <v>3</v>
      </c>
      <c r="J38" s="10" t="inlineStr">
        <is>
          <t>T080, T005</t>
        </is>
      </c>
      <c r="K38" s="9" t="inlineStr">
        <is>
          <t>4 Antarmuka</t>
        </is>
      </c>
      <c r="L38" s="17" t="inlineStr">
        <is>
          <t>Belum mulai</t>
        </is>
      </c>
    </row>
    <row r="39">
      <c r="A39" s="9" t="inlineStr">
        <is>
          <t>T091</t>
        </is>
      </c>
      <c r="B39" s="9" t="inlineStr">
        <is>
          <t>F09</t>
        </is>
      </c>
      <c r="C39" s="10">
        <f>INDEX(Fitur!$B$2:$B$17,MATCH(B39,Fitur!$A$2:$A$17,0))</f>
        <v/>
      </c>
      <c r="D39" s="9">
        <f>INDEX(Fitur!$C$2:$C$17,MATCH(B39,Fitur!$A$2:$A$17,0))</f>
        <v/>
      </c>
      <c r="E39" s="10" t="inlineStr">
        <is>
          <t>Panel keputusan verifikator</t>
        </is>
      </c>
      <c r="F39" s="10" t="inlineStr">
        <is>
          <t>Tombol setujui, minta klarifikasi, eskalasi; alasan wajib; riwayat keputusan</t>
        </is>
      </c>
      <c r="G39" s="9" t="inlineStr">
        <is>
          <t>Frontend</t>
        </is>
      </c>
      <c r="H39" s="15" t="n"/>
      <c r="I39" s="16" t="n">
        <v>3</v>
      </c>
      <c r="J39" s="10" t="inlineStr">
        <is>
          <t>T081, T090</t>
        </is>
      </c>
      <c r="K39" s="9" t="inlineStr">
        <is>
          <t>4 Antarmuka</t>
        </is>
      </c>
      <c r="L39" s="17" t="inlineStr">
        <is>
          <t>Belum mulai</t>
        </is>
      </c>
    </row>
    <row r="40">
      <c r="A40" s="9" t="inlineStr">
        <is>
          <t>T100</t>
        </is>
      </c>
      <c r="B40" s="9" t="inlineStr">
        <is>
          <t>F10</t>
        </is>
      </c>
      <c r="C40" s="10">
        <f>INDEX(Fitur!$B$2:$B$17,MATCH(B40,Fitur!$A$2:$A$17,0))</f>
        <v/>
      </c>
      <c r="D40" s="9">
        <f>INDEX(Fitur!$C$2:$C$17,MATCH(B40,Fitur!$A$2:$A$17,0))</f>
        <v/>
      </c>
      <c r="E40" s="10" t="inlineStr">
        <is>
          <t>Hitung rentang teks identik</t>
        </is>
      </c>
      <c r="F40" s="10" t="inlineStr">
        <is>
          <t>Simpan posisi kalimat identik di findings.citations</t>
        </is>
      </c>
      <c r="G40" s="9" t="inlineStr">
        <is>
          <t>AI/Data</t>
        </is>
      </c>
      <c r="H40" s="15" t="n"/>
      <c r="I40" s="16" t="n">
        <v>3</v>
      </c>
      <c r="J40" s="10" t="inlineStr">
        <is>
          <t>T051</t>
        </is>
      </c>
      <c r="K40" s="9" t="inlineStr">
        <is>
          <t>3 Uji &amp; Skor</t>
        </is>
      </c>
      <c r="L40" s="17" t="inlineStr">
        <is>
          <t>Belum mulai</t>
        </is>
      </c>
    </row>
    <row r="41">
      <c r="A41" s="9" t="inlineStr">
        <is>
          <t>T101</t>
        </is>
      </c>
      <c r="B41" s="9" t="inlineStr">
        <is>
          <t>F10</t>
        </is>
      </c>
      <c r="C41" s="10">
        <f>INDEX(Fitur!$B$2:$B$17,MATCH(B41,Fitur!$A$2:$A$17,0))</f>
        <v/>
      </c>
      <c r="D41" s="9">
        <f>INDEX(Fitur!$C$2:$C$17,MATCH(B41,Fitur!$A$2:$A$17,0))</f>
        <v/>
      </c>
      <c r="E41" s="10" t="inlineStr">
        <is>
          <t>Tampilan sorotan berdampingan</t>
        </is>
      </c>
      <c r="F41" s="10" t="inlineStr">
        <is>
          <t>Dua dokumen berdampingan dengan kalimat identik disorot</t>
        </is>
      </c>
      <c r="G41" s="9" t="inlineStr">
        <is>
          <t>Frontend</t>
        </is>
      </c>
      <c r="H41" s="15" t="n"/>
      <c r="I41" s="16" t="n">
        <v>3</v>
      </c>
      <c r="J41" s="10" t="inlineStr">
        <is>
          <t>T083, T100</t>
        </is>
      </c>
      <c r="K41" s="9" t="inlineStr">
        <is>
          <t>4 Antarmuka</t>
        </is>
      </c>
      <c r="L41" s="17" t="inlineStr">
        <is>
          <t>Belum mulai</t>
        </is>
      </c>
    </row>
    <row r="42">
      <c r="A42" s="9" t="inlineStr">
        <is>
          <t>T110</t>
        </is>
      </c>
      <c r="B42" s="9" t="inlineStr">
        <is>
          <t>F11</t>
        </is>
      </c>
      <c r="C42" s="10">
        <f>INDEX(Fitur!$B$2:$B$17,MATCH(B42,Fitur!$A$2:$A$17,0))</f>
        <v/>
      </c>
      <c r="D42" s="9">
        <f>INDEX(Fitur!$C$2:$C$17,MATCH(B42,Fitur!$A$2:$A$17,0))</f>
        <v/>
      </c>
      <c r="E42" s="10" t="inlineStr">
        <is>
          <t>Endpoint ringkasan faskes</t>
        </is>
      </c>
      <c r="F42" s="10" t="inlineStr">
        <is>
          <t>Agregat jumlah tanda per uji dan potensi selisih per faskes</t>
        </is>
      </c>
      <c r="G42" s="9" t="inlineStr">
        <is>
          <t>Backend</t>
        </is>
      </c>
      <c r="H42" s="15" t="n"/>
      <c r="I42" s="16" t="n">
        <v>2</v>
      </c>
      <c r="J42" s="10" t="inlineStr">
        <is>
          <t>T071</t>
        </is>
      </c>
      <c r="K42" s="9" t="inlineStr">
        <is>
          <t>4 Antarmuka</t>
        </is>
      </c>
      <c r="L42" s="17" t="inlineStr">
        <is>
          <t>Belum mulai</t>
        </is>
      </c>
    </row>
    <row r="43">
      <c r="A43" s="9" t="inlineStr">
        <is>
          <t>T111</t>
        </is>
      </c>
      <c r="B43" s="9" t="inlineStr">
        <is>
          <t>F11</t>
        </is>
      </c>
      <c r="C43" s="10">
        <f>INDEX(Fitur!$B$2:$B$17,MATCH(B43,Fitur!$A$2:$A$17,0))</f>
        <v/>
      </c>
      <c r="D43" s="9">
        <f>INDEX(Fitur!$C$2:$C$17,MATCH(B43,Fitur!$A$2:$A$17,0))</f>
        <v/>
      </c>
      <c r="E43" s="10" t="inlineStr">
        <is>
          <t>Halaman ringkasan supervisor</t>
        </is>
      </c>
      <c r="F43" s="10" t="inlineStr">
        <is>
          <t>Tabel per faskes dan daftar klaim yang dieskalasi</t>
        </is>
      </c>
      <c r="G43" s="9" t="inlineStr">
        <is>
          <t>Frontend</t>
        </is>
      </c>
      <c r="H43" s="15" t="n"/>
      <c r="I43" s="16" t="n">
        <v>3</v>
      </c>
      <c r="J43" s="10" t="inlineStr">
        <is>
          <t>T004, T110</t>
        </is>
      </c>
      <c r="K43" s="9" t="inlineStr">
        <is>
          <t>4 Antarmuka</t>
        </is>
      </c>
      <c r="L43" s="17" t="inlineStr">
        <is>
          <t>Belum mulai</t>
        </is>
      </c>
    </row>
    <row r="44">
      <c r="A44" s="9" t="inlineStr">
        <is>
          <t>T120</t>
        </is>
      </c>
      <c r="B44" s="9" t="inlineStr">
        <is>
          <t>F12</t>
        </is>
      </c>
      <c r="C44" s="10">
        <f>INDEX(Fitur!$B$2:$B$17,MATCH(B44,Fitur!$A$2:$A$17,0))</f>
        <v/>
      </c>
      <c r="D44" s="9">
        <f>INDEX(Fitur!$C$2:$C$17,MATCH(B44,Fitur!$A$2:$A$17,0))</f>
        <v/>
      </c>
      <c r="E44" s="10" t="inlineStr">
        <is>
          <t>Script metrik</t>
        </is>
      </c>
      <c r="F44" s="10" t="inlineStr">
        <is>
          <t>Presisi, recall, dan total selisih pada kasus benar dari injected_case vs findings</t>
        </is>
      </c>
      <c r="G44" s="9" t="inlineStr">
        <is>
          <t>AI/Data</t>
        </is>
      </c>
      <c r="H44" s="15" t="n"/>
      <c r="I44" s="16" t="n">
        <v>3</v>
      </c>
      <c r="J44" s="10" t="inlineStr">
        <is>
          <t>T071</t>
        </is>
      </c>
      <c r="K44" s="9" t="inlineStr">
        <is>
          <t>5 Demo</t>
        </is>
      </c>
      <c r="L44" s="17" t="inlineStr">
        <is>
          <t>Belum mulai</t>
        </is>
      </c>
    </row>
    <row r="45">
      <c r="A45" s="9" t="inlineStr">
        <is>
          <t>T121</t>
        </is>
      </c>
      <c r="B45" s="9" t="inlineStr">
        <is>
          <t>F12</t>
        </is>
      </c>
      <c r="C45" s="10">
        <f>INDEX(Fitur!$B$2:$B$17,MATCH(B45,Fitur!$A$2:$A$17,0))</f>
        <v/>
      </c>
      <c r="D45" s="9">
        <f>INDEX(Fitur!$C$2:$C$17,MATCH(B45,Fitur!$A$2:$A$17,0))</f>
        <v/>
      </c>
      <c r="E45" s="10" t="inlineStr">
        <is>
          <t>Uji end-to-end alur demo</t>
        </is>
      </c>
      <c r="F45" s="10" t="inlineStr">
        <is>
          <t>Jalankan UC-1 s.d. UC-4 dari antrean sampai keputusan; catat bug</t>
        </is>
      </c>
      <c r="G45" s="9" t="inlineStr">
        <is>
          <t>QA/PM</t>
        </is>
      </c>
      <c r="H45" s="15" t="n"/>
      <c r="I45" s="16" t="n">
        <v>3</v>
      </c>
      <c r="J45" s="10" t="inlineStr">
        <is>
          <t>T073, T082, T083, T091</t>
        </is>
      </c>
      <c r="K45" s="9" t="inlineStr">
        <is>
          <t>5 Demo</t>
        </is>
      </c>
      <c r="L45" s="17" t="inlineStr">
        <is>
          <t>Belum mulai</t>
        </is>
      </c>
    </row>
    <row r="46">
      <c r="A46" s="9" t="inlineStr">
        <is>
          <t>T122</t>
        </is>
      </c>
      <c r="B46" s="9" t="inlineStr">
        <is>
          <t>F12</t>
        </is>
      </c>
      <c r="C46" s="10">
        <f>INDEX(Fitur!$B$2:$B$17,MATCH(B46,Fitur!$A$2:$A$17,0))</f>
        <v/>
      </c>
      <c r="D46" s="9">
        <f>INDEX(Fitur!$C$2:$C$17,MATCH(B46,Fitur!$A$2:$A$17,0))</f>
        <v/>
      </c>
      <c r="E46" s="10" t="inlineStr">
        <is>
          <t>Naskah demo 3 menit</t>
        </is>
      </c>
      <c r="F46" s="10" t="inlineStr">
        <is>
          <t>Pilih klaim untuk tiap langkah demo dan siapkan narasi; semua angka berlabel estimasi data sintetis</t>
        </is>
      </c>
      <c r="G46" s="9" t="inlineStr">
        <is>
          <t>QA/PM</t>
        </is>
      </c>
      <c r="H46" s="15" t="n"/>
      <c r="I46" s="16" t="n">
        <v>2</v>
      </c>
      <c r="J46" s="10" t="inlineStr">
        <is>
          <t>T120, T121</t>
        </is>
      </c>
      <c r="K46" s="9" t="inlineStr">
        <is>
          <t>5 Demo</t>
        </is>
      </c>
      <c r="L46" s="17" t="inlineStr">
        <is>
          <t>Belum mulai</t>
        </is>
      </c>
    </row>
  </sheetData>
  <autoFilter ref="A1:L46"/>
  <conditionalFormatting sqref="A2:L46">
    <cfRule type="expression" priority="1" dxfId="0">
      <formula>$L2="Selesai"</formula>
    </cfRule>
    <cfRule type="expression" priority="2" dxfId="1">
      <formula>$L2="Terblokir"</formula>
    </cfRule>
  </conditionalFormatting>
  <dataValidations count="4">
    <dataValidation sqref="G2:G96" showDropDown="0" showInputMessage="0" showErrorMessage="0" allowBlank="1" type="list">
      <formula1>"AI/Data,Backend,Frontend,QA/PM"</formula1>
    </dataValidation>
    <dataValidation sqref="L2:L96" showDropDown="0" showInputMessage="0" showErrorMessage="0" allowBlank="1" type="list">
      <formula1>"Belum mulai,Dikerjakan,Review,Selesai,Terblokir"</formula1>
    </dataValidation>
    <dataValidation sqref="K2:K96" showDropDown="0" showInputMessage="0" showErrorMessage="0" allowBlank="1" type="list">
      <formula1>"1 Fondasi,2 Data &amp; AI,3 Uji &amp; Skor,4 Antarmuka,5 Demo"</formula1>
    </dataValidation>
    <dataValidation sqref="B2:B96" showDropDown="0" showInputMessage="0" showErrorMessage="0" allowBlank="0" type="list">
      <formula1>=Fitur!$A$2:$A$17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2026-10-01T08:47:09Z</dcterms:created>
  <dcterms:modified xsi:type="dcterms:W3CDTF">2026-10-01T08:47:09Z</dcterms:modified>
</cp:coreProperties>
</file>