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odul" sheetId="2" state="visible" r:id="rId2"/>
    <sheet name="PRD Modul" sheetId="3" state="visible" r:id="rId3"/>
    <sheet name="Task" sheetId="4" state="visible" r:id="rId4"/>
  </sheets>
  <definedNames>
    <definedName name="_xlnm._FilterDatabase" localSheetId="3" hidden="1">'Task'!$A$1:$L$27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i val="1"/>
      <color rgb="006B665C"/>
      <sz val="9"/>
    </font>
    <font>
      <name val="Arial"/>
      <b val="1"/>
    </font>
    <font>
      <name val="Arial"/>
      <b val="1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F6FB5"/>
      </patternFill>
    </fill>
    <fill>
      <patternFill patternType="solid">
        <fgColor rgb="00FFF2CC"/>
      </patternFill>
    </fill>
    <fill>
      <patternFill patternType="solid">
        <fgColor rgb="00F3F0E9"/>
      </patternFill>
    </fill>
  </fills>
  <borders count="2">
    <border>
      <left/>
      <right/>
      <top/>
      <bottom/>
      <diagonal/>
    </border>
    <border>
      <left style="thin">
        <color rgb="00D5D0C4"/>
      </left>
      <right style="thin">
        <color rgb="00D5D0C4"/>
      </right>
      <top style="thin">
        <color rgb="00D5D0C4"/>
      </top>
      <bottom style="thin">
        <color rgb="00D5D0C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9" fontId="2" fillId="0" borderId="1" applyAlignment="1" pivotButton="0" quotePrefix="0" xfId="0">
      <alignment horizontal="center" vertical="top" wrapText="1"/>
    </xf>
    <xf numFmtId="9" fontId="7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1" customWidth="1" min="4" max="4"/>
    <col width="12" customWidth="1" min="5" max="5"/>
    <col width="14" customWidth="1" min="6" max="6"/>
    <col width="13" customWidth="1" min="7" max="7"/>
    <col width="10" customWidth="1" min="8" max="8"/>
  </cols>
  <sheetData>
    <row r="1">
      <c r="A1" s="1" t="inlineStr">
        <is>
          <t>INTEGRA MVP — Task per Modul (2 developer fullstack, 2 hari)</t>
        </is>
      </c>
    </row>
    <row r="2">
      <c r="A2" s="2" t="inlineStr">
        <is>
          <t>Sumber: PRD INTEGRA dan ERD MVP revisi. Estimasi jam adalah perkiraan awal; AI memakai LLM API, tanpa QA/PM terpisah. Fitur P2 tidak dikerjakan.</t>
        </is>
      </c>
    </row>
    <row r="4">
      <c r="A4" s="3" t="inlineStr">
        <is>
          <t>Cara pakai</t>
        </is>
      </c>
    </row>
    <row r="5">
      <c r="A5" s="4" t="inlineStr">
        <is>
          <t>Sel kuning</t>
        </is>
      </c>
      <c r="B5" s="5" t="inlineStr">
        <is>
          <t>PIC di sheet Modul (ganti Orang A/B dengan nama) dan Status di sheet Task.</t>
        </is>
      </c>
    </row>
    <row r="6">
      <c r="A6" s="6" t="inlineStr">
        <is>
          <t>Angka biru</t>
        </is>
      </c>
      <c r="B6" s="5" t="inlineStr">
        <is>
          <t>Estimasi jam, boleh diubah.</t>
        </is>
      </c>
    </row>
    <row r="7">
      <c r="A7" s="7" t="inlineStr">
        <is>
          <t>Teks hitam</t>
        </is>
      </c>
      <c r="B7" s="5" t="inlineStr">
        <is>
          <t>Formula otomatis, jangan diisi manual.</t>
        </is>
      </c>
    </row>
    <row r="8">
      <c r="A8" s="7" t="inlineStr">
        <is>
          <t>P1</t>
        </is>
      </c>
      <c r="B8" s="5" t="inlineStr">
        <is>
          <t>Dikerjakan hanya jika semua P0 sudah stabil.</t>
        </is>
      </c>
    </row>
    <row r="10">
      <c r="A10" s="3" t="inlineStr">
        <is>
          <t>Beban per orang (jam)</t>
        </is>
      </c>
    </row>
    <row r="11">
      <c r="A11" s="8" t="inlineStr">
        <is>
          <t>PIC</t>
        </is>
      </c>
      <c r="B11" s="8" t="inlineStr">
        <is>
          <t>Hari 1</t>
        </is>
      </c>
      <c r="C11" s="8" t="inlineStr">
        <is>
          <t>Hari 2</t>
        </is>
      </c>
      <c r="D11" s="8" t="inlineStr">
        <is>
          <t>Total P0</t>
        </is>
      </c>
      <c r="E11" s="8" t="inlineStr">
        <is>
          <t>Total P1</t>
        </is>
      </c>
      <c r="F11" s="8" t="inlineStr">
        <is>
          <t>Total</t>
        </is>
      </c>
      <c r="G11" s="8" t="inlineStr">
        <is>
          <t>Selesai (task)</t>
        </is>
      </c>
    </row>
    <row r="12">
      <c r="A12" s="9">
        <f>Modul!$D$2</f>
        <v/>
      </c>
      <c r="B12" s="10">
        <f>SUMIFS(Task!$I$2:$I$27,Task!$D$2:$D$27,A12,Task!$J$2:$J$27,"Hari 1")</f>
        <v/>
      </c>
      <c r="C12" s="10">
        <f>SUMIFS(Task!$I$2:$I$27,Task!$D$2:$D$27,A12,Task!$J$2:$J$27,"Hari 2")</f>
        <v/>
      </c>
      <c r="D12" s="10">
        <f>SUMIFS(Task!$I$2:$I$27,Task!$D$2:$D$27,A12,Task!$E$2:$E$27,"P0")</f>
        <v/>
      </c>
      <c r="E12" s="10">
        <f>SUMIFS(Task!$I$2:$I$27,Task!$D$2:$D$27,A12,Task!$E$2:$E$27,"P1")</f>
        <v/>
      </c>
      <c r="F12" s="10">
        <f>D12+E12</f>
        <v/>
      </c>
      <c r="G12" s="11">
        <f>COUNTIFS(Task!$D$2:$D$27,A12,Task!$L$2:$L$27,"Selesai")</f>
        <v/>
      </c>
    </row>
    <row r="13">
      <c r="A13" s="9">
        <f>Modul!$D$3</f>
        <v/>
      </c>
      <c r="B13" s="10">
        <f>SUMIFS(Task!$I$2:$I$27,Task!$D$2:$D$27,A13,Task!$J$2:$J$27,"Hari 1")</f>
        <v/>
      </c>
      <c r="C13" s="10">
        <f>SUMIFS(Task!$I$2:$I$27,Task!$D$2:$D$27,A13,Task!$J$2:$J$27,"Hari 2")</f>
        <v/>
      </c>
      <c r="D13" s="10">
        <f>SUMIFS(Task!$I$2:$I$27,Task!$D$2:$D$27,A13,Task!$E$2:$E$27,"P0")</f>
        <v/>
      </c>
      <c r="E13" s="10">
        <f>SUMIFS(Task!$I$2:$I$27,Task!$D$2:$D$27,A13,Task!$E$2:$E$27,"P1")</f>
        <v/>
      </c>
      <c r="F13" s="10">
        <f>D13+E13</f>
        <v/>
      </c>
      <c r="G13" s="11">
        <f>COUNTIFS(Task!$D$2:$D$27,A13,Task!$L$2:$L$27,"Selesai")</f>
        <v/>
      </c>
    </row>
    <row r="14">
      <c r="A14" s="12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3">
        <f>SUM(E12:E13)</f>
        <v/>
      </c>
      <c r="F14" s="13">
        <f>SUM(F12:F13)</f>
        <v/>
      </c>
      <c r="G14" s="14">
        <f>SUM(G12:G13)</f>
        <v/>
      </c>
    </row>
    <row r="15">
      <c r="A15" s="2" t="inlineStr">
        <is>
          <t>Baris PIC mengikuti dua PIC pertama di sheet Modul (M01 dan M02).</t>
        </is>
      </c>
    </row>
    <row r="17">
      <c r="A17" s="3" t="inlineStr">
        <is>
          <t>Rekap per modul</t>
        </is>
      </c>
    </row>
    <row r="18">
      <c r="A18" s="8" t="inlineStr">
        <is>
          <t>ID</t>
        </is>
      </c>
      <c r="B18" s="8" t="inlineStr">
        <is>
          <t>Modul</t>
        </is>
      </c>
      <c r="C18" s="8" t="inlineStr">
        <is>
          <t>Prioritas</t>
        </is>
      </c>
      <c r="D18" s="8" t="inlineStr">
        <is>
          <t>PIC</t>
        </is>
      </c>
      <c r="E18" s="8" t="inlineStr">
        <is>
          <t>Jumlah task</t>
        </is>
      </c>
      <c r="F18" s="8" t="inlineStr">
        <is>
          <t>Estimasi (jam)</t>
        </is>
      </c>
      <c r="G18" s="8" t="inlineStr">
        <is>
          <t>Selesai</t>
        </is>
      </c>
      <c r="H18" s="8" t="inlineStr">
        <is>
          <t>Progres</t>
        </is>
      </c>
    </row>
    <row r="19">
      <c r="A19" s="11" t="inlineStr">
        <is>
          <t>M-01</t>
        </is>
      </c>
      <c r="B19" s="9">
        <f>INDEX(Modul!$B$2:$B$11,MATCH(A19,Modul!$A$2:$A$11,0))</f>
        <v/>
      </c>
      <c r="C19" s="11">
        <f>INDEX(Modul!$C$2:$C$11,MATCH(A19,Modul!$A$2:$A$11,0))</f>
        <v/>
      </c>
      <c r="D19" s="11">
        <f>INDEX(Modul!$D$2:$D$11,MATCH(A19,Modul!$A$2:$A$11,0))</f>
        <v/>
      </c>
      <c r="E19" s="11">
        <f>COUNTIF(Task!$B$2:$B$27,A19)</f>
        <v/>
      </c>
      <c r="F19" s="10">
        <f>SUMIF(Task!$B$2:$B$27,A19,Task!$I$2:$I$27)</f>
        <v/>
      </c>
      <c r="G19" s="11">
        <f>COUNTIFS(Task!$B$2:$B$27,A19,Task!$L$2:$L$27,"Selesai")</f>
        <v/>
      </c>
      <c r="H19" s="15">
        <f>IF(E19=0,"-",G19/E19)</f>
        <v/>
      </c>
    </row>
    <row r="20">
      <c r="A20" s="11" t="inlineStr">
        <is>
          <t>M-02</t>
        </is>
      </c>
      <c r="B20" s="9">
        <f>INDEX(Modul!$B$2:$B$11,MATCH(A20,Modul!$A$2:$A$11,0))</f>
        <v/>
      </c>
      <c r="C20" s="11">
        <f>INDEX(Modul!$C$2:$C$11,MATCH(A20,Modul!$A$2:$A$11,0))</f>
        <v/>
      </c>
      <c r="D20" s="11">
        <f>INDEX(Modul!$D$2:$D$11,MATCH(A20,Modul!$A$2:$A$11,0))</f>
        <v/>
      </c>
      <c r="E20" s="11">
        <f>COUNTIF(Task!$B$2:$B$27,A20)</f>
        <v/>
      </c>
      <c r="F20" s="10">
        <f>SUMIF(Task!$B$2:$B$27,A20,Task!$I$2:$I$27)</f>
        <v/>
      </c>
      <c r="G20" s="11">
        <f>COUNTIFS(Task!$B$2:$B$27,A20,Task!$L$2:$L$27,"Selesai")</f>
        <v/>
      </c>
      <c r="H20" s="15">
        <f>IF(E20=0,"-",G20/E20)</f>
        <v/>
      </c>
    </row>
    <row r="21">
      <c r="A21" s="11" t="inlineStr">
        <is>
          <t>M-03</t>
        </is>
      </c>
      <c r="B21" s="9">
        <f>INDEX(Modul!$B$2:$B$11,MATCH(A21,Modul!$A$2:$A$11,0))</f>
        <v/>
      </c>
      <c r="C21" s="11">
        <f>INDEX(Modul!$C$2:$C$11,MATCH(A21,Modul!$A$2:$A$11,0))</f>
        <v/>
      </c>
      <c r="D21" s="11">
        <f>INDEX(Modul!$D$2:$D$11,MATCH(A21,Modul!$A$2:$A$11,0))</f>
        <v/>
      </c>
      <c r="E21" s="11">
        <f>COUNTIF(Task!$B$2:$B$27,A21)</f>
        <v/>
      </c>
      <c r="F21" s="10">
        <f>SUMIF(Task!$B$2:$B$27,A21,Task!$I$2:$I$27)</f>
        <v/>
      </c>
      <c r="G21" s="11">
        <f>COUNTIFS(Task!$B$2:$B$27,A21,Task!$L$2:$L$27,"Selesai")</f>
        <v/>
      </c>
      <c r="H21" s="15">
        <f>IF(E21=0,"-",G21/E21)</f>
        <v/>
      </c>
    </row>
    <row r="22">
      <c r="A22" s="11" t="inlineStr">
        <is>
          <t>M-04</t>
        </is>
      </c>
      <c r="B22" s="9">
        <f>INDEX(Modul!$B$2:$B$11,MATCH(A22,Modul!$A$2:$A$11,0))</f>
        <v/>
      </c>
      <c r="C22" s="11">
        <f>INDEX(Modul!$C$2:$C$11,MATCH(A22,Modul!$A$2:$A$11,0))</f>
        <v/>
      </c>
      <c r="D22" s="11">
        <f>INDEX(Modul!$D$2:$D$11,MATCH(A22,Modul!$A$2:$A$11,0))</f>
        <v/>
      </c>
      <c r="E22" s="11">
        <f>COUNTIF(Task!$B$2:$B$27,A22)</f>
        <v/>
      </c>
      <c r="F22" s="10">
        <f>SUMIF(Task!$B$2:$B$27,A22,Task!$I$2:$I$27)</f>
        <v/>
      </c>
      <c r="G22" s="11">
        <f>COUNTIFS(Task!$B$2:$B$27,A22,Task!$L$2:$L$27,"Selesai")</f>
        <v/>
      </c>
      <c r="H22" s="15">
        <f>IF(E22=0,"-",G22/E22)</f>
        <v/>
      </c>
    </row>
    <row r="23">
      <c r="A23" s="11" t="inlineStr">
        <is>
          <t>M-05</t>
        </is>
      </c>
      <c r="B23" s="9">
        <f>INDEX(Modul!$B$2:$B$11,MATCH(A23,Modul!$A$2:$A$11,0))</f>
        <v/>
      </c>
      <c r="C23" s="11">
        <f>INDEX(Modul!$C$2:$C$11,MATCH(A23,Modul!$A$2:$A$11,0))</f>
        <v/>
      </c>
      <c r="D23" s="11">
        <f>INDEX(Modul!$D$2:$D$11,MATCH(A23,Modul!$A$2:$A$11,0))</f>
        <v/>
      </c>
      <c r="E23" s="11">
        <f>COUNTIF(Task!$B$2:$B$27,A23)</f>
        <v/>
      </c>
      <c r="F23" s="10">
        <f>SUMIF(Task!$B$2:$B$27,A23,Task!$I$2:$I$27)</f>
        <v/>
      </c>
      <c r="G23" s="11">
        <f>COUNTIFS(Task!$B$2:$B$27,A23,Task!$L$2:$L$27,"Selesai")</f>
        <v/>
      </c>
      <c r="H23" s="15">
        <f>IF(E23=0,"-",G23/E23)</f>
        <v/>
      </c>
    </row>
    <row r="24">
      <c r="A24" s="11" t="inlineStr">
        <is>
          <t>M-06</t>
        </is>
      </c>
      <c r="B24" s="9">
        <f>INDEX(Modul!$B$2:$B$11,MATCH(A24,Modul!$A$2:$A$11,0))</f>
        <v/>
      </c>
      <c r="C24" s="11">
        <f>INDEX(Modul!$C$2:$C$11,MATCH(A24,Modul!$A$2:$A$11,0))</f>
        <v/>
      </c>
      <c r="D24" s="11">
        <f>INDEX(Modul!$D$2:$D$11,MATCH(A24,Modul!$A$2:$A$11,0))</f>
        <v/>
      </c>
      <c r="E24" s="11">
        <f>COUNTIF(Task!$B$2:$B$27,A24)</f>
        <v/>
      </c>
      <c r="F24" s="10">
        <f>SUMIF(Task!$B$2:$B$27,A24,Task!$I$2:$I$27)</f>
        <v/>
      </c>
      <c r="G24" s="11">
        <f>COUNTIFS(Task!$B$2:$B$27,A24,Task!$L$2:$L$27,"Selesai")</f>
        <v/>
      </c>
      <c r="H24" s="15">
        <f>IF(E24=0,"-",G24/E24)</f>
        <v/>
      </c>
    </row>
    <row r="25">
      <c r="A25" s="11" t="inlineStr">
        <is>
          <t>M-07</t>
        </is>
      </c>
      <c r="B25" s="9">
        <f>INDEX(Modul!$B$2:$B$11,MATCH(A25,Modul!$A$2:$A$11,0))</f>
        <v/>
      </c>
      <c r="C25" s="11">
        <f>INDEX(Modul!$C$2:$C$11,MATCH(A25,Modul!$A$2:$A$11,0))</f>
        <v/>
      </c>
      <c r="D25" s="11">
        <f>INDEX(Modul!$D$2:$D$11,MATCH(A25,Modul!$A$2:$A$11,0))</f>
        <v/>
      </c>
      <c r="E25" s="11">
        <f>COUNTIF(Task!$B$2:$B$27,A25)</f>
        <v/>
      </c>
      <c r="F25" s="10">
        <f>SUMIF(Task!$B$2:$B$27,A25,Task!$I$2:$I$27)</f>
        <v/>
      </c>
      <c r="G25" s="11">
        <f>COUNTIFS(Task!$B$2:$B$27,A25,Task!$L$2:$L$27,"Selesai")</f>
        <v/>
      </c>
      <c r="H25" s="15">
        <f>IF(E25=0,"-",G25/E25)</f>
        <v/>
      </c>
    </row>
    <row r="26">
      <c r="A26" s="11" t="inlineStr">
        <is>
          <t>M-08</t>
        </is>
      </c>
      <c r="B26" s="9">
        <f>INDEX(Modul!$B$2:$B$11,MATCH(A26,Modul!$A$2:$A$11,0))</f>
        <v/>
      </c>
      <c r="C26" s="11">
        <f>INDEX(Modul!$C$2:$C$11,MATCH(A26,Modul!$A$2:$A$11,0))</f>
        <v/>
      </c>
      <c r="D26" s="11">
        <f>INDEX(Modul!$D$2:$D$11,MATCH(A26,Modul!$A$2:$A$11,0))</f>
        <v/>
      </c>
      <c r="E26" s="11">
        <f>COUNTIF(Task!$B$2:$B$27,A26)</f>
        <v/>
      </c>
      <c r="F26" s="10">
        <f>SUMIF(Task!$B$2:$B$27,A26,Task!$I$2:$I$27)</f>
        <v/>
      </c>
      <c r="G26" s="11">
        <f>COUNTIFS(Task!$B$2:$B$27,A26,Task!$L$2:$L$27,"Selesai")</f>
        <v/>
      </c>
      <c r="H26" s="15">
        <f>IF(E26=0,"-",G26/E26)</f>
        <v/>
      </c>
    </row>
    <row r="27">
      <c r="A27" s="11" t="inlineStr">
        <is>
          <t>M-09</t>
        </is>
      </c>
      <c r="B27" s="9">
        <f>INDEX(Modul!$B$2:$B$11,MATCH(A27,Modul!$A$2:$A$11,0))</f>
        <v/>
      </c>
      <c r="C27" s="11">
        <f>INDEX(Modul!$C$2:$C$11,MATCH(A27,Modul!$A$2:$A$11,0))</f>
        <v/>
      </c>
      <c r="D27" s="11">
        <f>INDEX(Modul!$D$2:$D$11,MATCH(A27,Modul!$A$2:$A$11,0))</f>
        <v/>
      </c>
      <c r="E27" s="11">
        <f>COUNTIF(Task!$B$2:$B$27,A27)</f>
        <v/>
      </c>
      <c r="F27" s="10">
        <f>SUMIF(Task!$B$2:$B$27,A27,Task!$I$2:$I$27)</f>
        <v/>
      </c>
      <c r="G27" s="11">
        <f>COUNTIFS(Task!$B$2:$B$27,A27,Task!$L$2:$L$27,"Selesai")</f>
        <v/>
      </c>
      <c r="H27" s="15">
        <f>IF(E27=0,"-",G27/E27)</f>
        <v/>
      </c>
    </row>
    <row r="28">
      <c r="A28" s="11" t="inlineStr">
        <is>
          <t>M-10</t>
        </is>
      </c>
      <c r="B28" s="9">
        <f>INDEX(Modul!$B$2:$B$11,MATCH(A28,Modul!$A$2:$A$11,0))</f>
        <v/>
      </c>
      <c r="C28" s="11">
        <f>INDEX(Modul!$C$2:$C$11,MATCH(A28,Modul!$A$2:$A$11,0))</f>
        <v/>
      </c>
      <c r="D28" s="11">
        <f>INDEX(Modul!$D$2:$D$11,MATCH(A28,Modul!$A$2:$A$11,0))</f>
        <v/>
      </c>
      <c r="E28" s="11">
        <f>COUNTIF(Task!$B$2:$B$27,A28)</f>
        <v/>
      </c>
      <c r="F28" s="10">
        <f>SUMIF(Task!$B$2:$B$27,A28,Task!$I$2:$I$27)</f>
        <v/>
      </c>
      <c r="G28" s="11">
        <f>COUNTIFS(Task!$B$2:$B$27,A28,Task!$L$2:$L$27,"Selesai")</f>
        <v/>
      </c>
      <c r="H28" s="15">
        <f>IF(E28=0,"-",G28/E28)</f>
        <v/>
      </c>
    </row>
    <row r="29">
      <c r="A29" s="14" t="inlineStr">
        <is>
          <t>Total</t>
        </is>
      </c>
      <c r="B29" s="12" t="n"/>
      <c r="C29" s="14" t="n"/>
      <c r="D29" s="14" t="n"/>
      <c r="E29" s="14">
        <f>SUM(E19:E28)</f>
        <v/>
      </c>
      <c r="F29" s="13">
        <f>SUM(F19:F28)</f>
        <v/>
      </c>
      <c r="G29" s="14">
        <f>SUM(G19:G28)</f>
        <v/>
      </c>
      <c r="H29" s="16">
        <f>IF(E29=0,"-",G29/E29)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2" customWidth="1" min="4" max="4"/>
    <col width="30" customWidth="1" min="5" max="5"/>
    <col width="52" customWidth="1" min="6" max="6"/>
    <col width="32" customWidth="1" min="7" max="7"/>
    <col width="30" customWidth="1" min="8" max="8"/>
    <col width="32" customWidth="1" min="9" max="9"/>
    <col width="14" customWidth="1" min="10" max="10"/>
  </cols>
  <sheetData>
    <row r="1">
      <c r="A1" s="8" t="inlineStr">
        <is>
          <t>ID</t>
        </is>
      </c>
      <c r="B1" s="8" t="inlineStr">
        <is>
          <t>Modul</t>
        </is>
      </c>
      <c r="C1" s="8" t="inlineStr">
        <is>
          <t>Prioritas</t>
        </is>
      </c>
      <c r="D1" s="8" t="inlineStr">
        <is>
          <t>PIC</t>
        </is>
      </c>
      <c r="E1" s="8" t="inlineStr">
        <is>
          <t>Fitur PRD yang dicakup</t>
        </is>
      </c>
      <c r="F1" s="8" t="inlineStr">
        <is>
          <t>Deskripsi</t>
        </is>
      </c>
      <c r="G1" s="8" t="inlineStr">
        <is>
          <t>API (NestJS)</t>
        </is>
      </c>
      <c r="H1" s="8" t="inlineStr">
        <is>
          <t>Web (Next.js)</t>
        </is>
      </c>
      <c r="I1" s="8" t="inlineStr">
        <is>
          <t>Tabel</t>
        </is>
      </c>
      <c r="J1" s="8" t="inlineStr">
        <is>
          <t>Bergantung pada</t>
        </is>
      </c>
    </row>
    <row r="2">
      <c r="A2" s="11" t="inlineStr">
        <is>
          <t>M-01</t>
        </is>
      </c>
      <c r="B2" s="9" t="inlineStr">
        <is>
          <t>Fondasi</t>
        </is>
      </c>
      <c r="C2" s="11" t="inlineStr">
        <is>
          <t>P0</t>
        </is>
      </c>
      <c r="D2" s="17" t="inlineStr">
        <is>
          <t>Orang A</t>
        </is>
      </c>
      <c r="E2" s="9" t="inlineStr">
        <is>
          <t>-</t>
        </is>
      </c>
      <c r="F2" s="9" t="inlineStr">
        <is>
          <t>Skema database sesuai ERD, kerangka NestJS dan Next.js, serta kontrak data yang disepakati berdua di awal.</t>
        </is>
      </c>
      <c r="G2" s="9" t="inlineStr">
        <is>
          <t>schema.prisma, migrasi, PrismaModule, repository</t>
        </is>
      </c>
      <c r="H2" s="9" t="inlineStr">
        <is>
          <t>Layout, navigasi, api-client, QueryClient</t>
        </is>
      </c>
      <c r="I2" s="9" t="inlineStr">
        <is>
          <t>Semua tabel</t>
        </is>
      </c>
      <c r="J2" s="9" t="inlineStr">
        <is>
          <t>-</t>
        </is>
      </c>
    </row>
    <row r="3">
      <c r="A3" s="11" t="inlineStr">
        <is>
          <t>M-02</t>
        </is>
      </c>
      <c r="B3" s="9" t="inlineStr">
        <is>
          <t>Data Sintetis</t>
        </is>
      </c>
      <c r="C3" s="11" t="inlineStr">
        <is>
          <t>P0</t>
        </is>
      </c>
      <c r="D3" s="17" t="inlineStr">
        <is>
          <t>Orang B</t>
        </is>
      </c>
      <c r="E3" s="9" t="inlineStr">
        <is>
          <t>Generator dataset klaim sintetis; metrik presisi/recall</t>
        </is>
      </c>
      <c r="F3" s="9" t="inlineStr">
        <is>
          <t>Klaim rawat inap sintetis lengkap dengan dokumen klinis yang ditulis lewat LLM API, kasus sisipan UC-1 s.d. UC-4, tabel bukti klinis, dan tarif sintetis.</t>
        </is>
      </c>
      <c r="G3" s="9" t="inlineStr">
        <is>
          <t>Script seed + script metrik</t>
        </is>
      </c>
      <c r="H3" s="9" t="inlineStr">
        <is>
          <t>-</t>
        </is>
      </c>
      <c r="I3" s="9" t="inlineStr">
        <is>
          <t>facilities, patients, users, claims, claim_diagnoses, clinical_documents, evidence_rules</t>
        </is>
      </c>
      <c r="J3" s="9" t="inlineStr">
        <is>
          <t>M-01</t>
        </is>
      </c>
    </row>
    <row r="4">
      <c r="A4" s="11" t="inlineStr">
        <is>
          <t>M-03</t>
        </is>
      </c>
      <c r="B4" s="9" t="inlineStr">
        <is>
          <t>Ekstraksi LLM</t>
        </is>
      </c>
      <c r="C4" s="11" t="inlineStr">
        <is>
          <t>P0</t>
        </is>
      </c>
      <c r="D4" s="17" t="inlineStr">
        <is>
          <t>Orang B</t>
        </is>
      </c>
      <c r="E4" s="9" t="inlineStr">
        <is>
          <t>Ekstraksi bukti klinis</t>
        </is>
      </c>
      <c r="F4" s="9" t="inlineStr">
        <is>
          <t>Memanggil LLM API untuk membaca rekam medis dan mengembalikan JSON terstruktur: diagnosis, pemeriksaan, obat, tindakan, waktu, dan kutipan asli.</t>
        </is>
      </c>
      <c r="G4" s="9" t="inlineStr">
        <is>
          <t>Port + adapter LLM API, use case ekstraksi</t>
        </is>
      </c>
      <c r="H4" s="9" t="inlineStr">
        <is>
          <t>-</t>
        </is>
      </c>
      <c r="I4" s="9" t="inlineStr">
        <is>
          <t>clinical_documents.extracted</t>
        </is>
      </c>
      <c r="J4" s="9" t="inlineStr">
        <is>
          <t>M01, M02</t>
        </is>
      </c>
    </row>
    <row r="5">
      <c r="A5" s="11" t="inlineStr">
        <is>
          <t>M-04</t>
        </is>
      </c>
      <c r="B5" s="9" t="inlineStr">
        <is>
          <t>Uji Ada dan Selisih Tarif</t>
        </is>
      </c>
      <c r="C5" s="11" t="inlineStr">
        <is>
          <t>P0</t>
        </is>
      </c>
      <c r="D5" s="17" t="inlineStr">
        <is>
          <t>Orang A</t>
        </is>
      </c>
      <c r="E5" s="9" t="inlineStr">
        <is>
          <t>Pengecekan diagnosis tanpa bukti; estimasi potensi selisih tarif</t>
        </is>
      </c>
      <c r="F5" s="9" t="inlineStr">
        <is>
          <t>Mencocokkan diagnosis sekunder dengan bukti yang seharusnya ada, menandai diagnosis yatim, dan menghitung selisih tarif jika diagnosis itu dikeluarkan.</t>
        </is>
      </c>
      <c r="G5" s="9" t="inlineStr">
        <is>
          <t>Use case Uji Ada, perhitungan tariff_gap</t>
        </is>
      </c>
      <c r="H5" s="9" t="inlineStr">
        <is>
          <t>Panel Uji Ada di Kartu Klaim</t>
        </is>
      </c>
      <c r="I5" s="9" t="inlineStr">
        <is>
          <t>evidence_rules, claim_diagnoses, findings, claims</t>
        </is>
      </c>
      <c r="J5" s="9" t="inlineStr">
        <is>
          <t>M03, M08</t>
        </is>
      </c>
    </row>
    <row r="6">
      <c r="A6" s="11" t="inlineStr">
        <is>
          <t>M-05</t>
        </is>
      </c>
      <c r="B6" s="9" t="inlineStr">
        <is>
          <t>Uji Konsisten</t>
        </is>
      </c>
      <c r="C6" s="11" t="inlineStr">
        <is>
          <t>P0</t>
        </is>
      </c>
      <c r="D6" s="17" t="inlineStr">
        <is>
          <t>Orang B</t>
        </is>
      </c>
      <c r="E6" s="9" t="inlineStr">
        <is>
          <t>Pengecekan konsistensi pemeriksaan</t>
        </is>
      </c>
      <c r="F6" s="9" t="inlineStr">
        <is>
          <t>Membandingkan catatan pemeriksaan dengan catatan harian, tindakan, dan waktu, lalu menandai yang tidak sejalan tanpa menilai kebenaran klinis.</t>
        </is>
      </c>
      <c r="G6" s="9" t="inlineStr">
        <is>
          <t>Use case Uji Konsisten</t>
        </is>
      </c>
      <c r="H6" s="9" t="inlineStr">
        <is>
          <t>Panel dua kutipan berdampingan</t>
        </is>
      </c>
      <c r="I6" s="9" t="inlineStr">
        <is>
          <t>clinical_documents, findings</t>
        </is>
      </c>
      <c r="J6" s="9" t="inlineStr">
        <is>
          <t>M03, M08</t>
        </is>
      </c>
    </row>
    <row r="7">
      <c r="A7" s="11" t="inlineStr">
        <is>
          <t>M-06</t>
        </is>
      </c>
      <c r="B7" s="9" t="inlineStr">
        <is>
          <t>Uji Bukan Salinan</t>
        </is>
      </c>
      <c r="C7" s="11" t="inlineStr">
        <is>
          <t>P0</t>
        </is>
      </c>
      <c r="D7" s="17" t="inlineStr">
        <is>
          <t>Orang B</t>
        </is>
      </c>
      <c r="E7" s="9" t="inlineStr">
        <is>
          <t>Kemiripan dokumen antar pasien; sorotan teks identik (P1)</t>
        </is>
      </c>
      <c r="F7" s="9" t="inlineStr">
        <is>
          <t>Mengukur kemiripan resume medis dan resep antar pasien berbeda, menyimpan pasangan dua arah, dan menyorot kalimat identik.</t>
        </is>
      </c>
      <c r="G7" s="9" t="inlineStr">
        <is>
          <t>Use case kemiripan teks</t>
        </is>
      </c>
      <c r="H7" s="9" t="inlineStr">
        <is>
          <t>Panel klaim mirip, sorotan teks</t>
        </is>
      </c>
      <c r="I7" s="9" t="inlineStr">
        <is>
          <t>clinical_documents, findings</t>
        </is>
      </c>
      <c r="J7" s="9" t="inlineStr">
        <is>
          <t>M02, M08</t>
        </is>
      </c>
    </row>
    <row r="8">
      <c r="A8" s="11" t="inlineStr">
        <is>
          <t>M-07</t>
        </is>
      </c>
      <c r="B8" s="9" t="inlineStr">
        <is>
          <t>Antrean Klaim</t>
        </is>
      </c>
      <c r="C8" s="11" t="inlineStr">
        <is>
          <t>P0</t>
        </is>
      </c>
      <c r="D8" s="17" t="inlineStr">
        <is>
          <t>Orang A</t>
        </is>
      </c>
      <c r="E8" s="9" t="inlineStr">
        <is>
          <t>Antrean klaim prioritas</t>
        </is>
      </c>
      <c r="F8" s="9" t="inlineStr">
        <is>
          <t>Menggabungkan sinyal tiga uji dan selisih tarif menjadi skor prioritas, lalu menampilkan antrean berlabel perlu klarifikasi.</t>
        </is>
      </c>
      <c r="G8" s="9" t="inlineStr">
        <is>
          <t>Orkestrasi analisis, POST /analysis/run, GET /claims</t>
        </is>
      </c>
      <c r="H8" s="9" t="inlineStr">
        <is>
          <t>Halaman antrean</t>
        </is>
      </c>
      <c r="I8" s="9" t="inlineStr">
        <is>
          <t>claims, findings</t>
        </is>
      </c>
      <c r="J8" s="9" t="inlineStr">
        <is>
          <t>M04, M05, M06</t>
        </is>
      </c>
    </row>
    <row r="9">
      <c r="A9" s="11" t="inlineStr">
        <is>
          <t>M-08</t>
        </is>
      </c>
      <c r="B9" s="9" t="inlineStr">
        <is>
          <t>Kartu Klaim</t>
        </is>
      </c>
      <c r="C9" s="11" t="inlineStr">
        <is>
          <t>P0</t>
        </is>
      </c>
      <c r="D9" s="17" t="inlineStr">
        <is>
          <t>Orang A</t>
        </is>
      </c>
      <c r="E9" s="9" t="inlineStr">
        <is>
          <t>Kartu Klaim</t>
        </is>
      </c>
      <c r="F9" s="9" t="inlineStr">
        <is>
          <t>Satu layar berisi ringkasan klaim, potensi selisih, dan slot panel untuk tiga uji.</t>
        </is>
      </c>
      <c r="G9" s="9" t="inlineStr">
        <is>
          <t>GET /claims/:id</t>
        </is>
      </c>
      <c r="H9" s="9" t="inlineStr">
        <is>
          <t>Halaman Kartu Klaim (kerangka + header)</t>
        </is>
      </c>
      <c r="I9" s="9" t="inlineStr">
        <is>
          <t>claims, claim_diagnoses, clinical_documents, findings</t>
        </is>
      </c>
      <c r="J9" s="9" t="inlineStr">
        <is>
          <t>M-01</t>
        </is>
      </c>
    </row>
    <row r="10">
      <c r="A10" s="11" t="inlineStr">
        <is>
          <t>M-09</t>
        </is>
      </c>
      <c r="B10" s="9" t="inlineStr">
        <is>
          <t>Keputusan Verifikator</t>
        </is>
      </c>
      <c r="C10" s="11" t="inlineStr">
        <is>
          <t>P1</t>
        </is>
      </c>
      <c r="D10" s="17" t="inlineStr">
        <is>
          <t>Orang A</t>
        </is>
      </c>
      <c r="E10" s="9" t="inlineStr">
        <is>
          <t>Keputusan verifikator</t>
        </is>
      </c>
      <c r="F10" s="9" t="inlineStr">
        <is>
          <t>Setujui, minta klarifikasi, atau eskalasi dengan alasan wajib sebagai jejak audit.</t>
        </is>
      </c>
      <c r="G10" s="9" t="inlineStr">
        <is>
          <t>POST /claims/:id/decisions</t>
        </is>
      </c>
      <c r="H10" s="9" t="inlineStr">
        <is>
          <t>Panel keputusan</t>
        </is>
      </c>
      <c r="I10" s="9" t="inlineStr">
        <is>
          <t>decisions, claims, users</t>
        </is>
      </c>
      <c r="J10" s="9" t="inlineStr">
        <is>
          <t>M-08</t>
        </is>
      </c>
    </row>
    <row r="11">
      <c r="A11" s="11" t="inlineStr">
        <is>
          <t>M-10</t>
        </is>
      </c>
      <c r="B11" s="9" t="inlineStr">
        <is>
          <t>Ringkasan Faskes</t>
        </is>
      </c>
      <c r="C11" s="11" t="inlineStr">
        <is>
          <t>P1</t>
        </is>
      </c>
      <c r="D11" s="17" t="inlineStr">
        <is>
          <t>Orang A</t>
        </is>
      </c>
      <c r="E11" s="9" t="inlineStr">
        <is>
          <t>Ringkasan per faskes</t>
        </is>
      </c>
      <c r="F11" s="9" t="inlineStr">
        <is>
          <t>Jumlah tanda dan potensi selisih per faskes untuk supervisor.</t>
        </is>
      </c>
      <c r="G11" s="9" t="inlineStr">
        <is>
          <t>GET /facilities/summary</t>
        </is>
      </c>
      <c r="H11" s="9" t="inlineStr">
        <is>
          <t>Halaman ringkasan</t>
        </is>
      </c>
      <c r="I11" s="9" t="inlineStr">
        <is>
          <t>facilities, claims, findings</t>
        </is>
      </c>
      <c r="J11" s="9" t="inlineStr">
        <is>
          <t>M-07</t>
        </is>
      </c>
    </row>
  </sheetData>
  <dataValidations count="1">
    <dataValidation sqref="D2:D31" showDropDown="0" showInputMessage="0" showErrorMessage="0" allowBlank="1" type="list">
      <formula1>"Orang A,Orang 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34" customWidth="1" min="4" max="4"/>
    <col width="38" customWidth="1" min="5" max="5"/>
    <col width="46" customWidth="1" min="6" max="6"/>
    <col width="28" customWidth="1" min="7" max="7"/>
    <col width="44" customWidth="1" min="8" max="8"/>
    <col width="24" customWidth="1" min="9" max="9"/>
  </cols>
  <sheetData>
    <row r="1">
      <c r="A1" s="8" t="inlineStr">
        <is>
          <t>ID</t>
        </is>
      </c>
      <c r="B1" s="8" t="inlineStr">
        <is>
          <t>Modul</t>
        </is>
      </c>
      <c r="C1" s="8" t="inlineStr">
        <is>
          <t>Prioritas</t>
        </is>
      </c>
      <c r="D1" s="8" t="inlineStr">
        <is>
          <t>Tujuan</t>
        </is>
      </c>
      <c r="E1" s="8" t="inlineStr">
        <is>
          <t>User story</t>
        </is>
      </c>
      <c r="F1" s="8" t="inlineStr">
        <is>
          <t>Masuk ruang lingkup</t>
        </is>
      </c>
      <c r="G1" s="8" t="inlineStr">
        <is>
          <t>Di luar ruang lingkup</t>
        </is>
      </c>
      <c r="H1" s="8" t="inlineStr">
        <is>
          <t>Kriteria penerimaan</t>
        </is>
      </c>
      <c r="I1" s="8" t="inlineStr">
        <is>
          <t>Rujukan PRD</t>
        </is>
      </c>
    </row>
    <row r="2">
      <c r="A2" s="11" t="inlineStr">
        <is>
          <t>M-01</t>
        </is>
      </c>
      <c r="B2" s="9">
        <f>INDEX(Modul!$B$2:$B$11,MATCH(A2,Modul!$A$2:$A$11,0))</f>
        <v/>
      </c>
      <c r="C2" s="11">
        <f>INDEX(Modul!$C$2:$C$11,MATCH(A2,Modul!$A$2:$A$11,0))</f>
        <v/>
      </c>
      <c r="D2" s="9" t="inlineStr">
        <is>
          <t>Kedua developer bisa bekerja paralel sejak jam pertama tanpa saling menunggu.</t>
        </is>
      </c>
      <c r="E2" s="9" t="inlineStr">
        <is>
          <t>Sebagai developer, saya ingin skema, kerangka, dan kontrak data siap supaya bisa langsung membangun modul saya.</t>
        </is>
      </c>
      <c r="F2" s="9" t="inlineStr">
        <is>
          <t>- schema.prisma sesuai ERD revisi
- Migrasi dan PrismaModule
- Repository Prisma
- Kontrak JSON extracted dan response GET /claims/:id
- Layout dan navigasi web</t>
        </is>
      </c>
      <c r="G2" s="9" t="inlineStr">
        <is>
          <t>- Autentikasi dan manajemen pengguna</t>
        </is>
      </c>
      <c r="H2" s="9" t="inlineStr">
        <is>
          <t>- prisma:migrate berhasil di database kosong
- build, lint, typecheck lulus
- Contoh JSON kontrak tersimpan sebagai fixture</t>
        </is>
      </c>
      <c r="I2" s="9" t="inlineStr">
        <is>
          <t>Kebutuhan data dan arsitektur teknis</t>
        </is>
      </c>
    </row>
    <row r="3">
      <c r="A3" s="11" t="inlineStr">
        <is>
          <t>M-02</t>
        </is>
      </c>
      <c r="B3" s="9">
        <f>INDEX(Modul!$B$2:$B$11,MATCH(A3,Modul!$A$2:$A$11,0))</f>
        <v/>
      </c>
      <c r="C3" s="11">
        <f>INDEX(Modul!$C$2:$C$11,MATCH(A3,Modul!$A$2:$A$11,0))</f>
        <v/>
      </c>
      <c r="D3" s="9" t="inlineStr">
        <is>
          <t>Data realistis tanpa data peserta JKN riil, dengan kunci jawaban untuk mengukur hasil.</t>
        </is>
      </c>
      <c r="E3" s="9" t="inlineStr">
        <is>
          <t>Sebagai tim, saya ingin dataset sintetis dengan kasus sisipan supaya demo dan metrik bisa diukur secara jujur.</t>
        </is>
      </c>
      <c r="F3" s="9" t="inlineStr">
        <is>
          <t>- Dokumen klinis ditulis lewat LLM API dari template skenario
- Kasus UC-1 s.d. UC-4, satu klaim bisa lebih dari satu modus
- evidence_rules untuk sedikit diagnosis sekunder
- Tarif sintetis per severity
- Script presisi dan recall</t>
        </is>
      </c>
      <c r="G3" s="9" t="inlineStr">
        <is>
          <t>- Data riil, semua diagnosis dan kelompok INA-CBG</t>
        </is>
      </c>
      <c r="H3" s="9" t="inlineStr">
        <is>
          <t>- Seed bisa dijalankan ulang
- injected_case benar untuk setiap klaim sisipan
- Script metrik mencetak presisi, recall, dan total selisih</t>
        </is>
      </c>
      <c r="I3" s="9" t="inlineStr">
        <is>
          <t>MVP hackathon; UC-1 s.d. UC-4; metrik keberhasilan</t>
        </is>
      </c>
    </row>
    <row r="4">
      <c r="A4" s="11" t="inlineStr">
        <is>
          <t>M-03</t>
        </is>
      </c>
      <c r="B4" s="9">
        <f>INDEX(Modul!$B$2:$B$11,MATCH(A4,Modul!$A$2:$A$11,0))</f>
        <v/>
      </c>
      <c r="C4" s="11">
        <f>INDEX(Modul!$C$2:$C$11,MATCH(A4,Modul!$A$2:$A$11,0))</f>
        <v/>
      </c>
      <c r="D4" s="9" t="inlineStr">
        <is>
          <t>Rekam medis teks bebas menjadi bukti terstruktur yang bisa diuji aturan.</t>
        </is>
      </c>
      <c r="E4" s="9" t="inlineStr">
        <is>
          <t>Sebagai sistem, saya ingin daftar diagnosis, pemeriksaan, obat, tindakan, dan waktunya supaya tiga uji bisa berjalan.</t>
        </is>
      </c>
      <c r="F4" s="9" t="inlineStr">
        <is>
          <t>- Satu panggilan LLM API per klaim dengan output JSON
- Validasi bentuk JSON
- Setiap butir menyimpan kutipan asli
- Hasil disimpan sehingga demo tidak memanggil API ulang</t>
        </is>
      </c>
      <c r="G4" s="9" t="inlineStr">
        <is>
          <t>- LLM memberi label fraud atau menilai klinis</t>
        </is>
      </c>
      <c r="H4" s="9" t="inlineStr">
        <is>
          <t>- Semua klaim sintetis punya extracted
- Respons gagal dicoba ulang tanpa menghentikan proses
- API key dan model dibaca dari env</t>
        </is>
      </c>
      <c r="I4" s="9" t="inlineStr">
        <is>
          <t>Arsitektur lapis Ekstraksi bukti klinis</t>
        </is>
      </c>
    </row>
    <row r="5">
      <c r="A5" s="11" t="inlineStr">
        <is>
          <t>M-04</t>
        </is>
      </c>
      <c r="B5" s="9">
        <f>INDEX(Modul!$B$2:$B$11,MATCH(A5,Modul!$A$2:$A$11,0))</f>
        <v/>
      </c>
      <c r="C5" s="11">
        <f>INDEX(Modul!$C$2:$C$11,MATCH(A5,Modul!$A$2:$A$11,0))</f>
        <v/>
      </c>
      <c r="D5" s="9" t="inlineStr">
        <is>
          <t>Menandai diagnosis sekunder yang menaikkan severity tanpa bukti, beserta dampaknya dalam rupiah.</t>
        </is>
      </c>
      <c r="E5" s="9" t="inlineStr">
        <is>
          <t>Sebagai verifikator, saya ingin tahu diagnosis mana yang tidak punya bukti dan berapa selisih tarifnya.</t>
        </is>
      </c>
      <c r="F5" s="9" t="inlineStr">
        <is>
          <t>- Pencocokan diagnosis dengan evidence_rules
- findings EXISTENCE dengan diagnosis_id dan bukti yang tidak ditemukan
- tariff_gap dan potential_gap
- Panel Uji Ada</t>
        </is>
      </c>
      <c r="G5" s="9" t="inlineStr">
        <is>
          <t>- Cakupan semua diagnosis</t>
        </is>
      </c>
      <c r="H5" s="9" t="inlineStr">
        <is>
          <t>- UC-1 (DBD + syok tanpa resusitasi cairan) tertandai dengan selisih rupiah
- Diagnosis dengan bukti lengkap tidak tertandai</t>
        </is>
      </c>
      <c r="I5" s="9" t="inlineStr">
        <is>
          <t>UC-1; alur demo langkah 2 dan 5</t>
        </is>
      </c>
    </row>
    <row r="6">
      <c r="A6" s="11" t="inlineStr">
        <is>
          <t>M-05</t>
        </is>
      </c>
      <c r="B6" s="9">
        <f>INDEX(Modul!$B$2:$B$11,MATCH(A6,Modul!$A$2:$A$11,0))</f>
        <v/>
      </c>
      <c r="C6" s="11">
        <f>INDEX(Modul!$C$2:$C$11,MATCH(A6,Modul!$A$2:$A$11,0))</f>
        <v/>
      </c>
      <c r="D6" s="9" t="inlineStr">
        <is>
          <t>Menandai catatan pemeriksaan yang tidak sejalan dengan catatan lain di rekam medis yang sama.</t>
        </is>
      </c>
      <c r="E6" s="9" t="inlineStr">
        <is>
          <t>Sebagai verifikator, saya ingin melihat catatan yang tidak sejalan supaya tahu bagian mana yang perlu dikonfirmasi.</t>
        </is>
      </c>
      <c r="F6" s="9" t="inlineStr">
        <is>
          <t>- Temuan hanya ada di resume, tidak di catatan harian
- Temuan tanpa tindakan
- Waktu tidak masuk akal
- Dua kutipan berdampingan</t>
        </is>
      </c>
      <c r="G6" s="9" t="inlineStr">
        <is>
          <t>- Menentukan mana yang benar secara klinis</t>
        </is>
      </c>
      <c r="H6" s="9" t="inlineStr">
        <is>
          <t>- UC-2 (pneumonia, sesak vs tidak sesak, tanpa oksigen) tertandai
- findings berisi document_id dan related_document_id</t>
        </is>
      </c>
      <c r="I6" s="9" t="inlineStr">
        <is>
          <t>UC-2; alur demo langkah 3</t>
        </is>
      </c>
    </row>
    <row r="7">
      <c r="A7" s="11" t="inlineStr">
        <is>
          <t>M-06</t>
        </is>
      </c>
      <c r="B7" s="9">
        <f>INDEX(Modul!$B$2:$B$11,MATCH(A7,Modul!$A$2:$A$11,0))</f>
        <v/>
      </c>
      <c r="C7" s="11">
        <f>INDEX(Modul!$C$2:$C$11,MATCH(A7,Modul!$A$2:$A$11,0))</f>
        <v/>
      </c>
      <c r="D7" s="9" t="inlineStr">
        <is>
          <t>Mengenali rekam medis yang disalin dari pasien lain.</t>
        </is>
      </c>
      <c r="E7" s="9" t="inlineStr">
        <is>
          <t>Sebagai verifikator, saya ingin melihat klaim lain yang isinya hampir sama supaya bisa mengenali pola salinan.</t>
        </is>
      </c>
      <c r="F7" s="9" t="inlineStr">
        <is>
          <t>- Kemiripan resume dan resep antar pasien berbeda (TF-IDF cosine, tanpa LLM)
- Simpan dua arah dengan upsert unique
- Panel klaim mirip
- P1: sorotan kalimat identik</t>
        </is>
      </c>
      <c r="G7" s="9" t="inlineStr">
        <is>
          <t>- Deteksi teks buatan AI (P2)</t>
        </is>
      </c>
      <c r="H7" s="9" t="inlineStr">
        <is>
          <t>- Kluster UC-3 terdeteksi
- Tidak ada baris dobel
- Klaim pasien yang sama tidak dibandingkan</t>
        </is>
      </c>
      <c r="I7" s="9" t="inlineStr">
        <is>
          <t>UC-3; alur demo langkah 4</t>
        </is>
      </c>
    </row>
    <row r="8">
      <c r="A8" s="11" t="inlineStr">
        <is>
          <t>M-07</t>
        </is>
      </c>
      <c r="B8" s="9">
        <f>INDEX(Modul!$B$2:$B$11,MATCH(A8,Modul!$A$2:$A$11,0))</f>
        <v/>
      </c>
      <c r="C8" s="11">
        <f>INDEX(Modul!$C$2:$C$11,MATCH(A8,Modul!$A$2:$A$11,0))</f>
        <v/>
      </c>
      <c r="D8" s="9" t="inlineStr">
        <is>
          <t>Verifikator menghabiskan waktu pada klaim yang paling berisiko.</t>
        </is>
      </c>
      <c r="E8" s="9" t="inlineStr">
        <is>
          <t>Sebagai verifikator, saya ingin melihat klaim yang paling perlu dicek di urutan teratas.</t>
        </is>
      </c>
      <c r="F8" s="9" t="inlineStr">
        <is>
          <t>- priority_score dari strength tiga uji dan potential_gap
- Endpoint untuk menjalankan analisis
- Antrean dengan label perlu klarifikasi, Skeleton, empty state, error</t>
        </is>
      </c>
      <c r="G8" s="9" t="inlineStr">
        <is>
          <t>- Notifikasi ke faskes</t>
        </is>
      </c>
      <c r="H8" s="9" t="inlineStr">
        <is>
          <t>- Klaim sisipan berada di urutan atas
- Label tidak pernah menyebut fraud
- Klik baris membuka Kartu Klaim</t>
        </is>
      </c>
      <c r="I8" s="9" t="inlineStr">
        <is>
          <t>Alur demo langkah 1</t>
        </is>
      </c>
    </row>
    <row r="9">
      <c r="A9" s="11" t="inlineStr">
        <is>
          <t>M-08</t>
        </is>
      </c>
      <c r="B9" s="9">
        <f>INDEX(Modul!$B$2:$B$11,MATCH(A9,Modul!$A$2:$A$11,0))</f>
        <v/>
      </c>
      <c r="C9" s="11">
        <f>INDEX(Modul!$C$2:$C$11,MATCH(A9,Modul!$A$2:$A$11,0))</f>
        <v/>
      </c>
      <c r="D9" s="9" t="inlineStr">
        <is>
          <t>Verifikator memahami kenapa klaim perlu diklarifikasi dalam kurang dari satu menit.</t>
        </is>
      </c>
      <c r="E9" s="9" t="inlineStr">
        <is>
          <t>Sebagai verifikator, saya ingin melihat bukti per uji, klaim mirip, dan selisih tarif dalam satu layar.</t>
        </is>
      </c>
      <c r="F9" s="9" t="inlineStr">
        <is>
          <t>- GET /claims/:id
- Kerangka halaman, header ringkasan dan selisih
- Slot panel yang diisi M04, M05, M06</t>
        </is>
      </c>
      <c r="G9" s="9" t="inlineStr">
        <is>
          <t>- Mengubah data klaim</t>
        </is>
      </c>
      <c r="H9" s="9" t="inlineStr">
        <is>
          <t>- Alur demo langkah 2-5 bisa ditunjukkan dari satu halaman</t>
        </is>
      </c>
      <c r="I9" s="9" t="inlineStr">
        <is>
          <t>Alur demo langkah 2-5</t>
        </is>
      </c>
    </row>
    <row r="10">
      <c r="A10" s="11" t="inlineStr">
        <is>
          <t>M-09</t>
        </is>
      </c>
      <c r="B10" s="9">
        <f>INDEX(Modul!$B$2:$B$11,MATCH(A10,Modul!$A$2:$A$11,0))</f>
        <v/>
      </c>
      <c r="C10" s="11">
        <f>INDEX(Modul!$C$2:$C$11,MATCH(A10,Modul!$A$2:$A$11,0))</f>
        <v/>
      </c>
      <c r="D10" s="9" t="inlineStr">
        <is>
          <t>Keputusan tetap di tangan manusia dan tercatat untuk audit.</t>
        </is>
      </c>
      <c r="E10" s="9" t="inlineStr">
        <is>
          <t>Sebagai verifikator, saya ingin mencatat keputusan dan alasan saya.</t>
        </is>
      </c>
      <c r="F10" s="9" t="inlineStr">
        <is>
          <t>- Tiga tombol keputusan, alasan wajib
- Status klaim ikut berubah</t>
        </is>
      </c>
      <c r="G10" s="9" t="inlineStr">
        <is>
          <t>- Kirim klarifikasi ke faskes</t>
        </is>
      </c>
      <c r="H10" s="9" t="inlineStr">
        <is>
          <t>- decisions tersimpan dengan verifier_id
- UC-4 bisa disetujui dengan alasan</t>
        </is>
      </c>
      <c r="I10" s="9" t="inlineStr">
        <is>
          <t>Alur verifikator langkah 5; UC-4</t>
        </is>
      </c>
    </row>
    <row r="11">
      <c r="A11" s="11" t="inlineStr">
        <is>
          <t>M-10</t>
        </is>
      </c>
      <c r="B11" s="9">
        <f>INDEX(Modul!$B$2:$B$11,MATCH(A11,Modul!$A$2:$A$11,0))</f>
        <v/>
      </c>
      <c r="C11" s="11">
        <f>INDEX(Modul!$C$2:$C$11,MATCH(A11,Modul!$A$2:$A$11,0))</f>
        <v/>
      </c>
      <c r="D11" s="9" t="inlineStr">
        <is>
          <t>Supervisor bisa menentukan prioritas pembinaan faskes.</t>
        </is>
      </c>
      <c r="E11" s="9" t="inlineStr">
        <is>
          <t>Sebagai supervisor, saya ingin melihat ringkasan tanda per faskes.</t>
        </is>
      </c>
      <c r="F11" s="9" t="inlineStr">
        <is>
          <t>- Jumlah tanda per uji dan potensi selisih per faskes</t>
        </is>
      </c>
      <c r="G11" s="9" t="inlineStr">
        <is>
          <t>- Dashboard lengkap, perbandingan case-mix (P2)</t>
        </is>
      </c>
      <c r="H11" s="9" t="inlineStr">
        <is>
          <t>- Angka sama dengan jumlah findings di database</t>
        </is>
      </c>
      <c r="I11" s="9" t="inlineStr">
        <is>
          <t>Persona supervisor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0" customWidth="1" min="4" max="4"/>
    <col width="9" customWidth="1" min="5" max="5"/>
    <col width="30" customWidth="1" min="6" max="6"/>
    <col width="58" customWidth="1" min="7" max="7"/>
    <col width="10" customWidth="1" min="8" max="8"/>
    <col width="10" customWidth="1" min="9" max="9"/>
    <col width="9" customWidth="1" min="10" max="10"/>
    <col width="16" customWidth="1" min="11" max="11"/>
    <col width="13" customWidth="1" min="12" max="12"/>
  </cols>
  <sheetData>
    <row r="1">
      <c r="A1" s="8" t="inlineStr">
        <is>
          <t>ID</t>
        </is>
      </c>
      <c r="B1" s="8" t="inlineStr">
        <is>
          <t>ID Modul</t>
        </is>
      </c>
      <c r="C1" s="8" t="inlineStr">
        <is>
          <t>Modul</t>
        </is>
      </c>
      <c r="D1" s="8" t="inlineStr">
        <is>
          <t>PIC</t>
        </is>
      </c>
      <c r="E1" s="8" t="inlineStr">
        <is>
          <t>Prioritas</t>
        </is>
      </c>
      <c r="F1" s="8" t="inlineStr">
        <is>
          <t>Task</t>
        </is>
      </c>
      <c r="G1" s="8" t="inlineStr">
        <is>
          <t>Detail / output</t>
        </is>
      </c>
      <c r="H1" s="8" t="inlineStr">
        <is>
          <t>Bagian</t>
        </is>
      </c>
      <c r="I1" s="8" t="inlineStr">
        <is>
          <t>Estimasi (jam)</t>
        </is>
      </c>
      <c r="J1" s="8" t="inlineStr">
        <is>
          <t>Hari</t>
        </is>
      </c>
      <c r="K1" s="8" t="inlineStr">
        <is>
          <t>Bergantung pada</t>
        </is>
      </c>
      <c r="L1" s="8" t="inlineStr">
        <is>
          <t>Status</t>
        </is>
      </c>
    </row>
    <row r="2">
      <c r="A2" s="11" t="inlineStr">
        <is>
          <t>T01</t>
        </is>
      </c>
      <c r="B2" s="11" t="inlineStr">
        <is>
          <t>M-01</t>
        </is>
      </c>
      <c r="C2" s="9">
        <f>INDEX(Modul!$B$2:$B$11,MATCH(B2,Modul!$A$2:$A$11,0))</f>
        <v/>
      </c>
      <c r="D2" s="11">
        <f>INDEX(Modul!$D$2:$D$11,MATCH(B2,Modul!$A$2:$A$11,0))</f>
        <v/>
      </c>
      <c r="E2" s="11" t="inlineStr">
        <is>
          <t>P0</t>
        </is>
      </c>
      <c r="F2" s="9" t="inlineStr">
        <is>
          <t>Skema Prisma dan migrasi</t>
        </is>
      </c>
      <c r="G2" s="9" t="inlineStr">
        <is>
          <t>9 tabel sesuai ERD revisi, wiring PrismaModule di AppModule</t>
        </is>
      </c>
      <c r="H2" s="11" t="inlineStr">
        <is>
          <t>Database</t>
        </is>
      </c>
      <c r="I2" s="18" t="n">
        <v>1.5</v>
      </c>
      <c r="J2" s="11" t="inlineStr">
        <is>
          <t>Hari 1</t>
        </is>
      </c>
      <c r="K2" s="9" t="inlineStr">
        <is>
          <t>-</t>
        </is>
      </c>
      <c r="L2" s="17" t="inlineStr">
        <is>
          <t>Belum mulai</t>
        </is>
      </c>
    </row>
    <row r="3">
      <c r="A3" s="11" t="inlineStr">
        <is>
          <t>T02</t>
        </is>
      </c>
      <c r="B3" s="11" t="inlineStr">
        <is>
          <t>M-01</t>
        </is>
      </c>
      <c r="C3" s="9">
        <f>INDEX(Modul!$B$2:$B$11,MATCH(B3,Modul!$A$2:$A$11,0))</f>
        <v/>
      </c>
      <c r="D3" s="11">
        <f>INDEX(Modul!$D$2:$D$11,MATCH(B3,Modul!$A$2:$A$11,0))</f>
        <v/>
      </c>
      <c r="E3" s="11" t="inlineStr">
        <is>
          <t>P0</t>
        </is>
      </c>
      <c r="F3" s="9" t="inlineStr">
        <is>
          <t>Sepakati kontrak data</t>
        </is>
      </c>
      <c r="G3" s="9" t="inlineStr">
        <is>
          <t>Contoh JSON clinical_documents.extracted dan response GET /claims/:id, simpan sebagai fixture bersama</t>
        </is>
      </c>
      <c r="H3" s="11" t="inlineStr">
        <is>
          <t>Kontrak</t>
        </is>
      </c>
      <c r="I3" s="18" t="n">
        <v>0.5</v>
      </c>
      <c r="J3" s="11" t="inlineStr">
        <is>
          <t>Hari 1</t>
        </is>
      </c>
      <c r="K3" s="9" t="inlineStr">
        <is>
          <t>-</t>
        </is>
      </c>
      <c r="L3" s="17" t="inlineStr">
        <is>
          <t>Belum mulai</t>
        </is>
      </c>
    </row>
    <row r="4">
      <c r="A4" s="11" t="inlineStr">
        <is>
          <t>T03</t>
        </is>
      </c>
      <c r="B4" s="11" t="inlineStr">
        <is>
          <t>M-01</t>
        </is>
      </c>
      <c r="C4" s="9">
        <f>INDEX(Modul!$B$2:$B$11,MATCH(B4,Modul!$A$2:$A$11,0))</f>
        <v/>
      </c>
      <c r="D4" s="11">
        <f>INDEX(Modul!$D$2:$D$11,MATCH(B4,Modul!$A$2:$A$11,0))</f>
        <v/>
      </c>
      <c r="E4" s="11" t="inlineStr">
        <is>
          <t>P0</t>
        </is>
      </c>
      <c r="F4" s="9" t="inlineStr">
        <is>
          <t>Repository Prisma</t>
        </is>
      </c>
      <c r="G4" s="9" t="inlineStr">
        <is>
          <t>Contract di src/domain, implementasi di src/infrastructure untuk claims, documents, findings</t>
        </is>
      </c>
      <c r="H4" s="11" t="inlineStr">
        <is>
          <t>API</t>
        </is>
      </c>
      <c r="I4" s="18" t="n">
        <v>1.5</v>
      </c>
      <c r="J4" s="11" t="inlineStr">
        <is>
          <t>Hari 1</t>
        </is>
      </c>
      <c r="K4" s="9" t="inlineStr">
        <is>
          <t>T01</t>
        </is>
      </c>
      <c r="L4" s="17" t="inlineStr">
        <is>
          <t>Belum mulai</t>
        </is>
      </c>
    </row>
    <row r="5">
      <c r="A5" s="11" t="inlineStr">
        <is>
          <t>T04</t>
        </is>
      </c>
      <c r="B5" s="11" t="inlineStr">
        <is>
          <t>M-01</t>
        </is>
      </c>
      <c r="C5" s="9">
        <f>INDEX(Modul!$B$2:$B$11,MATCH(B5,Modul!$A$2:$A$11,0))</f>
        <v/>
      </c>
      <c r="D5" s="11">
        <f>INDEX(Modul!$D$2:$D$11,MATCH(B5,Modul!$A$2:$A$11,0))</f>
        <v/>
      </c>
      <c r="E5" s="11" t="inlineStr">
        <is>
          <t>P0</t>
        </is>
      </c>
      <c r="F5" s="9" t="inlineStr">
        <is>
          <t>Kerangka web</t>
        </is>
      </c>
      <c r="G5" s="9" t="inlineStr">
        <is>
          <t>Layout, navigasi, api-client Axios, QueryClient</t>
        </is>
      </c>
      <c r="H5" s="11" t="inlineStr">
        <is>
          <t>Web</t>
        </is>
      </c>
      <c r="I5" s="18" t="n">
        <v>1</v>
      </c>
      <c r="J5" s="11" t="inlineStr">
        <is>
          <t>Hari 1</t>
        </is>
      </c>
      <c r="K5" s="9" t="inlineStr">
        <is>
          <t>-</t>
        </is>
      </c>
      <c r="L5" s="17" t="inlineStr">
        <is>
          <t>Belum mulai</t>
        </is>
      </c>
    </row>
    <row r="6">
      <c r="A6" s="11" t="inlineStr">
        <is>
          <t>T05</t>
        </is>
      </c>
      <c r="B6" s="11" t="inlineStr">
        <is>
          <t>M-02</t>
        </is>
      </c>
      <c r="C6" s="9">
        <f>INDEX(Modul!$B$2:$B$11,MATCH(B6,Modul!$A$2:$A$11,0))</f>
        <v/>
      </c>
      <c r="D6" s="11">
        <f>INDEX(Modul!$D$2:$D$11,MATCH(B6,Modul!$A$2:$A$11,0))</f>
        <v/>
      </c>
      <c r="E6" s="11" t="inlineStr">
        <is>
          <t>P0</t>
        </is>
      </c>
      <c r="F6" s="9" t="inlineStr">
        <is>
          <t>Skenario dan kunci jawaban</t>
        </is>
      </c>
      <c r="G6" s="9" t="inlineStr">
        <is>
          <t>Daftar klaim normal dan sisipan UC-1 s.d. UC-4, kombinasi modus per klaim</t>
        </is>
      </c>
      <c r="H6" s="11" t="inlineStr">
        <is>
          <t>Data</t>
        </is>
      </c>
      <c r="I6" s="18" t="n">
        <v>0.5</v>
      </c>
      <c r="J6" s="11" t="inlineStr">
        <is>
          <t>Hari 1</t>
        </is>
      </c>
      <c r="K6" s="9" t="inlineStr">
        <is>
          <t>-</t>
        </is>
      </c>
      <c r="L6" s="17" t="inlineStr">
        <is>
          <t>Belum mulai</t>
        </is>
      </c>
    </row>
    <row r="7">
      <c r="A7" s="11" t="inlineStr">
        <is>
          <t>T06</t>
        </is>
      </c>
      <c r="B7" s="11" t="inlineStr">
        <is>
          <t>M-02</t>
        </is>
      </c>
      <c r="C7" s="9">
        <f>INDEX(Modul!$B$2:$B$11,MATCH(B7,Modul!$A$2:$A$11,0))</f>
        <v/>
      </c>
      <c r="D7" s="11">
        <f>INDEX(Modul!$D$2:$D$11,MATCH(B7,Modul!$A$2:$A$11,0))</f>
        <v/>
      </c>
      <c r="E7" s="11" t="inlineStr">
        <is>
          <t>P0</t>
        </is>
      </c>
      <c r="F7" s="9" t="inlineStr">
        <is>
          <t>Generate dokumen klinis lewat LLM API</t>
        </is>
      </c>
      <c r="G7" s="9" t="inlineStr">
        <is>
          <t>Template per skenario, LLM menulis resume, catatan pemeriksaan, catatan harian, resep, tindakan; simpan hasil sebagai JSON</t>
        </is>
      </c>
      <c r="H7" s="11" t="inlineStr">
        <is>
          <t>LLM</t>
        </is>
      </c>
      <c r="I7" s="18" t="n">
        <v>2.5</v>
      </c>
      <c r="J7" s="11" t="inlineStr">
        <is>
          <t>Hari 1</t>
        </is>
      </c>
      <c r="K7" s="9" t="inlineStr">
        <is>
          <t>T05</t>
        </is>
      </c>
      <c r="L7" s="17" t="inlineStr">
        <is>
          <t>Belum mulai</t>
        </is>
      </c>
    </row>
    <row r="8">
      <c r="A8" s="11" t="inlineStr">
        <is>
          <t>T07</t>
        </is>
      </c>
      <c r="B8" s="11" t="inlineStr">
        <is>
          <t>M-02</t>
        </is>
      </c>
      <c r="C8" s="9">
        <f>INDEX(Modul!$B$2:$B$11,MATCH(B8,Modul!$A$2:$A$11,0))</f>
        <v/>
      </c>
      <c r="D8" s="11">
        <f>INDEX(Modul!$D$2:$D$11,MATCH(B8,Modul!$A$2:$A$11,0))</f>
        <v/>
      </c>
      <c r="E8" s="11" t="inlineStr">
        <is>
          <t>P0</t>
        </is>
      </c>
      <c r="F8" s="9" t="inlineStr">
        <is>
          <t>Seed database</t>
        </is>
      </c>
      <c r="G8" s="9" t="inlineStr">
        <is>
          <t>Faskes, pasien, users, klaim, diagnosis, dokumen dari JSON hasil generate</t>
        </is>
      </c>
      <c r="H8" s="11" t="inlineStr">
        <is>
          <t>Database</t>
        </is>
      </c>
      <c r="I8" s="18" t="n">
        <v>1</v>
      </c>
      <c r="J8" s="11" t="inlineStr">
        <is>
          <t>Hari 1</t>
        </is>
      </c>
      <c r="K8" s="9" t="inlineStr">
        <is>
          <t>T01, T06</t>
        </is>
      </c>
      <c r="L8" s="17" t="inlineStr">
        <is>
          <t>Belum mulai</t>
        </is>
      </c>
    </row>
    <row r="9">
      <c r="A9" s="11" t="inlineStr">
        <is>
          <t>T08</t>
        </is>
      </c>
      <c r="B9" s="11" t="inlineStr">
        <is>
          <t>M-02</t>
        </is>
      </c>
      <c r="C9" s="9">
        <f>INDEX(Modul!$B$2:$B$11,MATCH(B9,Modul!$A$2:$A$11,0))</f>
        <v/>
      </c>
      <c r="D9" s="11">
        <f>INDEX(Modul!$D$2:$D$11,MATCH(B9,Modul!$A$2:$A$11,0))</f>
        <v/>
      </c>
      <c r="E9" s="11" t="inlineStr">
        <is>
          <t>P0</t>
        </is>
      </c>
      <c r="F9" s="9" t="inlineStr">
        <is>
          <t>Tabel bukti klinis dan tarif sintetis</t>
        </is>
      </c>
      <c r="G9" s="9" t="inlineStr">
        <is>
          <t>evidence_rules untuk diagnosis sekunder terpilih, tarif per severity sebagai konfigurasi</t>
        </is>
      </c>
      <c r="H9" s="11" t="inlineStr">
        <is>
          <t>Data</t>
        </is>
      </c>
      <c r="I9" s="18" t="n">
        <v>1</v>
      </c>
      <c r="J9" s="11" t="inlineStr">
        <is>
          <t>Hari 1</t>
        </is>
      </c>
      <c r="K9" s="9" t="inlineStr">
        <is>
          <t>T05</t>
        </is>
      </c>
      <c r="L9" s="17" t="inlineStr">
        <is>
          <t>Belum mulai</t>
        </is>
      </c>
    </row>
    <row r="10">
      <c r="A10" s="11" t="inlineStr">
        <is>
          <t>T09</t>
        </is>
      </c>
      <c r="B10" s="11" t="inlineStr">
        <is>
          <t>M-03</t>
        </is>
      </c>
      <c r="C10" s="9">
        <f>INDEX(Modul!$B$2:$B$11,MATCH(B10,Modul!$A$2:$A$11,0))</f>
        <v/>
      </c>
      <c r="D10" s="11">
        <f>INDEX(Modul!$D$2:$D$11,MATCH(B10,Modul!$A$2:$A$11,0))</f>
        <v/>
      </c>
      <c r="E10" s="11" t="inlineStr">
        <is>
          <t>P0</t>
        </is>
      </c>
      <c r="F10" s="9" t="inlineStr">
        <is>
          <t>Adapter LLM API</t>
        </is>
      </c>
      <c r="G10" s="9" t="inlineStr">
        <is>
          <t>Port di src/application, adapter di src/infrastructure, API key dan model lewat @nestjs/config</t>
        </is>
      </c>
      <c r="H10" s="11" t="inlineStr">
        <is>
          <t>LLM</t>
        </is>
      </c>
      <c r="I10" s="18" t="n">
        <v>1</v>
      </c>
      <c r="J10" s="11" t="inlineStr">
        <is>
          <t>Hari 1</t>
        </is>
      </c>
      <c r="K10" s="9" t="inlineStr">
        <is>
          <t>T03</t>
        </is>
      </c>
      <c r="L10" s="17" t="inlineStr">
        <is>
          <t>Belum mulai</t>
        </is>
      </c>
    </row>
    <row r="11">
      <c r="A11" s="11" t="inlineStr">
        <is>
          <t>T10</t>
        </is>
      </c>
      <c r="B11" s="11" t="inlineStr">
        <is>
          <t>M-03</t>
        </is>
      </c>
      <c r="C11" s="9">
        <f>INDEX(Modul!$B$2:$B$11,MATCH(B11,Modul!$A$2:$A$11,0))</f>
        <v/>
      </c>
      <c r="D11" s="11">
        <f>INDEX(Modul!$D$2:$D$11,MATCH(B11,Modul!$A$2:$A$11,0))</f>
        <v/>
      </c>
      <c r="E11" s="11" t="inlineStr">
        <is>
          <t>P0</t>
        </is>
      </c>
      <c r="F11" s="9" t="inlineStr">
        <is>
          <t>Prompt dan validasi output</t>
        </is>
      </c>
      <c r="G11" s="9" t="inlineStr">
        <is>
          <t>Prompt ekstraksi dengan output JSON sesuai kontrak T02, validasi bentuk, retry jika gagal</t>
        </is>
      </c>
      <c r="H11" s="11" t="inlineStr">
        <is>
          <t>LLM</t>
        </is>
      </c>
      <c r="I11" s="18" t="n">
        <v>1.5</v>
      </c>
      <c r="J11" s="11" t="inlineStr">
        <is>
          <t>Hari 1</t>
        </is>
      </c>
      <c r="K11" s="9" t="inlineStr">
        <is>
          <t>T02, T09</t>
        </is>
      </c>
      <c r="L11" s="17" t="inlineStr">
        <is>
          <t>Belum mulai</t>
        </is>
      </c>
    </row>
    <row r="12">
      <c r="A12" s="11" t="inlineStr">
        <is>
          <t>T11</t>
        </is>
      </c>
      <c r="B12" s="11" t="inlineStr">
        <is>
          <t>M-03</t>
        </is>
      </c>
      <c r="C12" s="9">
        <f>INDEX(Modul!$B$2:$B$11,MATCH(B12,Modul!$A$2:$A$11,0))</f>
        <v/>
      </c>
      <c r="D12" s="11">
        <f>INDEX(Modul!$D$2:$D$11,MATCH(B12,Modul!$A$2:$A$11,0))</f>
        <v/>
      </c>
      <c r="E12" s="11" t="inlineStr">
        <is>
          <t>P0</t>
        </is>
      </c>
      <c r="F12" s="9" t="inlineStr">
        <is>
          <t>Use case ekstraksi</t>
        </is>
      </c>
      <c r="G12" s="9" t="inlineStr">
        <is>
          <t>Jalankan per klaim, simpan ke extracted, lewati klaim yang sudah diekstraksi</t>
        </is>
      </c>
      <c r="H12" s="11" t="inlineStr">
        <is>
          <t>API</t>
        </is>
      </c>
      <c r="I12" s="18" t="n">
        <v>1</v>
      </c>
      <c r="J12" s="11" t="inlineStr">
        <is>
          <t>Hari 1</t>
        </is>
      </c>
      <c r="K12" s="9" t="inlineStr">
        <is>
          <t>T07, T10</t>
        </is>
      </c>
      <c r="L12" s="17" t="inlineStr">
        <is>
          <t>Belum mulai</t>
        </is>
      </c>
    </row>
    <row r="13">
      <c r="A13" s="11" t="inlineStr">
        <is>
          <t>T12</t>
        </is>
      </c>
      <c r="B13" s="11" t="inlineStr">
        <is>
          <t>M-04</t>
        </is>
      </c>
      <c r="C13" s="9">
        <f>INDEX(Modul!$B$2:$B$11,MATCH(B13,Modul!$A$2:$A$11,0))</f>
        <v/>
      </c>
      <c r="D13" s="11">
        <f>INDEX(Modul!$D$2:$D$11,MATCH(B13,Modul!$A$2:$A$11,0))</f>
        <v/>
      </c>
      <c r="E13" s="11" t="inlineStr">
        <is>
          <t>P0</t>
        </is>
      </c>
      <c r="F13" s="9" t="inlineStr">
        <is>
          <t>Use case Uji Ada</t>
        </is>
      </c>
      <c r="G13" s="9" t="inlineStr">
        <is>
          <t>Cocokkan diagnosis sekunder dengan evidence_rules dan extracted, tulis findings EXISTENCE</t>
        </is>
      </c>
      <c r="H13" s="11" t="inlineStr">
        <is>
          <t>API</t>
        </is>
      </c>
      <c r="I13" s="18" t="n">
        <v>2</v>
      </c>
      <c r="J13" s="11" t="inlineStr">
        <is>
          <t>Hari 1</t>
        </is>
      </c>
      <c r="K13" s="9" t="inlineStr">
        <is>
          <t>T02, T08</t>
        </is>
      </c>
      <c r="L13" s="17" t="inlineStr">
        <is>
          <t>Belum mulai</t>
        </is>
      </c>
    </row>
    <row r="14">
      <c r="A14" s="11" t="inlineStr">
        <is>
          <t>T13</t>
        </is>
      </c>
      <c r="B14" s="11" t="inlineStr">
        <is>
          <t>M-04</t>
        </is>
      </c>
      <c r="C14" s="9">
        <f>INDEX(Modul!$B$2:$B$11,MATCH(B14,Modul!$A$2:$A$11,0))</f>
        <v/>
      </c>
      <c r="D14" s="11">
        <f>INDEX(Modul!$D$2:$D$11,MATCH(B14,Modul!$A$2:$A$11,0))</f>
        <v/>
      </c>
      <c r="E14" s="11" t="inlineStr">
        <is>
          <t>P0</t>
        </is>
      </c>
      <c r="F14" s="9" t="inlineStr">
        <is>
          <t>Selisih tarif</t>
        </is>
      </c>
      <c r="G14" s="9" t="inlineStr">
        <is>
          <t>Hitung tariff_gap per finding dan potential_gap per klaim</t>
        </is>
      </c>
      <c r="H14" s="11" t="inlineStr">
        <is>
          <t>API</t>
        </is>
      </c>
      <c r="I14" s="18" t="n">
        <v>0.5</v>
      </c>
      <c r="J14" s="11" t="inlineStr">
        <is>
          <t>Hari 1</t>
        </is>
      </c>
      <c r="K14" s="9" t="inlineStr">
        <is>
          <t>T12</t>
        </is>
      </c>
      <c r="L14" s="17" t="inlineStr">
        <is>
          <t>Belum mulai</t>
        </is>
      </c>
    </row>
    <row r="15">
      <c r="A15" s="11" t="inlineStr">
        <is>
          <t>T14</t>
        </is>
      </c>
      <c r="B15" s="11" t="inlineStr">
        <is>
          <t>M-04</t>
        </is>
      </c>
      <c r="C15" s="9">
        <f>INDEX(Modul!$B$2:$B$11,MATCH(B15,Modul!$A$2:$A$11,0))</f>
        <v/>
      </c>
      <c r="D15" s="11">
        <f>INDEX(Modul!$D$2:$D$11,MATCH(B15,Modul!$A$2:$A$11,0))</f>
        <v/>
      </c>
      <c r="E15" s="11" t="inlineStr">
        <is>
          <t>P0</t>
        </is>
      </c>
      <c r="F15" s="9" t="inlineStr">
        <is>
          <t>Panel Uji Ada</t>
        </is>
      </c>
      <c r="G15" s="9" t="inlineStr">
        <is>
          <t>Diagnosis yatim, bukti yang dicari tapi tidak ditemukan, selisih rupiah</t>
        </is>
      </c>
      <c r="H15" s="11" t="inlineStr">
        <is>
          <t>Web</t>
        </is>
      </c>
      <c r="I15" s="18" t="n">
        <v>1</v>
      </c>
      <c r="J15" s="11" t="inlineStr">
        <is>
          <t>Hari 2</t>
        </is>
      </c>
      <c r="K15" s="9" t="inlineStr">
        <is>
          <t>T13, T20</t>
        </is>
      </c>
      <c r="L15" s="17" t="inlineStr">
        <is>
          <t>Belum mulai</t>
        </is>
      </c>
    </row>
    <row r="16">
      <c r="A16" s="11" t="inlineStr">
        <is>
          <t>T15</t>
        </is>
      </c>
      <c r="B16" s="11" t="inlineStr">
        <is>
          <t>M-05</t>
        </is>
      </c>
      <c r="C16" s="9">
        <f>INDEX(Modul!$B$2:$B$11,MATCH(B16,Modul!$A$2:$A$11,0))</f>
        <v/>
      </c>
      <c r="D16" s="11">
        <f>INDEX(Modul!$D$2:$D$11,MATCH(B16,Modul!$A$2:$A$11,0))</f>
        <v/>
      </c>
      <c r="E16" s="11" t="inlineStr">
        <is>
          <t>P0</t>
        </is>
      </c>
      <c r="F16" s="9" t="inlineStr">
        <is>
          <t>Use case Uji Konsisten</t>
        </is>
      </c>
      <c r="G16" s="9" t="inlineStr">
        <is>
          <t>Tiga aturan konsistensi atas extracted, tulis findings CONSISTENCY dengan document_id dan related_document_id</t>
        </is>
      </c>
      <c r="H16" s="11" t="inlineStr">
        <is>
          <t>API</t>
        </is>
      </c>
      <c r="I16" s="18" t="n">
        <v>2</v>
      </c>
      <c r="J16" s="11" t="inlineStr">
        <is>
          <t>Hari 2</t>
        </is>
      </c>
      <c r="K16" s="9" t="inlineStr">
        <is>
          <t>T11</t>
        </is>
      </c>
      <c r="L16" s="17" t="inlineStr">
        <is>
          <t>Belum mulai</t>
        </is>
      </c>
    </row>
    <row r="17">
      <c r="A17" s="11" t="inlineStr">
        <is>
          <t>T16</t>
        </is>
      </c>
      <c r="B17" s="11" t="inlineStr">
        <is>
          <t>M-05</t>
        </is>
      </c>
      <c r="C17" s="9">
        <f>INDEX(Modul!$B$2:$B$11,MATCH(B17,Modul!$A$2:$A$11,0))</f>
        <v/>
      </c>
      <c r="D17" s="11">
        <f>INDEX(Modul!$D$2:$D$11,MATCH(B17,Modul!$A$2:$A$11,0))</f>
        <v/>
      </c>
      <c r="E17" s="11" t="inlineStr">
        <is>
          <t>P0</t>
        </is>
      </c>
      <c r="F17" s="9" t="inlineStr">
        <is>
          <t>Panel Uji Konsisten</t>
        </is>
      </c>
      <c r="G17" s="9" t="inlineStr">
        <is>
          <t>Dua kutipan berdampingan tanpa penilaian klinis</t>
        </is>
      </c>
      <c r="H17" s="11" t="inlineStr">
        <is>
          <t>Web</t>
        </is>
      </c>
      <c r="I17" s="18" t="n">
        <v>1</v>
      </c>
      <c r="J17" s="11" t="inlineStr">
        <is>
          <t>Hari 2</t>
        </is>
      </c>
      <c r="K17" s="9" t="inlineStr">
        <is>
          <t>T15, T20</t>
        </is>
      </c>
      <c r="L17" s="17" t="inlineStr">
        <is>
          <t>Belum mulai</t>
        </is>
      </c>
    </row>
    <row r="18">
      <c r="A18" s="11" t="inlineStr">
        <is>
          <t>T17</t>
        </is>
      </c>
      <c r="B18" s="11" t="inlineStr">
        <is>
          <t>M-06</t>
        </is>
      </c>
      <c r="C18" s="9">
        <f>INDEX(Modul!$B$2:$B$11,MATCH(B18,Modul!$A$2:$A$11,0))</f>
        <v/>
      </c>
      <c r="D18" s="11">
        <f>INDEX(Modul!$D$2:$D$11,MATCH(B18,Modul!$A$2:$A$11,0))</f>
        <v/>
      </c>
      <c r="E18" s="11" t="inlineStr">
        <is>
          <t>P0</t>
        </is>
      </c>
      <c r="F18" s="9" t="inlineStr">
        <is>
          <t>Use case Uji Bukan Salinan</t>
        </is>
      </c>
      <c r="G18" s="9" t="inlineStr">
        <is>
          <t>TF-IDF cosine resume dan resep antar pasien berbeda, simpan dua arah dengan upsert unique, ambang dari env</t>
        </is>
      </c>
      <c r="H18" s="11" t="inlineStr">
        <is>
          <t>API</t>
        </is>
      </c>
      <c r="I18" s="18" t="n">
        <v>2</v>
      </c>
      <c r="J18" s="11" t="inlineStr">
        <is>
          <t>Hari 2</t>
        </is>
      </c>
      <c r="K18" s="9" t="inlineStr">
        <is>
          <t>T07</t>
        </is>
      </c>
      <c r="L18" s="17" t="inlineStr">
        <is>
          <t>Belum mulai</t>
        </is>
      </c>
    </row>
    <row r="19">
      <c r="A19" s="11" t="inlineStr">
        <is>
          <t>T18</t>
        </is>
      </c>
      <c r="B19" s="11" t="inlineStr">
        <is>
          <t>M-06</t>
        </is>
      </c>
      <c r="C19" s="9">
        <f>INDEX(Modul!$B$2:$B$11,MATCH(B19,Modul!$A$2:$A$11,0))</f>
        <v/>
      </c>
      <c r="D19" s="11">
        <f>INDEX(Modul!$D$2:$D$11,MATCH(B19,Modul!$A$2:$A$11,0))</f>
        <v/>
      </c>
      <c r="E19" s="11" t="inlineStr">
        <is>
          <t>P0</t>
        </is>
      </c>
      <c r="F19" s="9" t="inlineStr">
        <is>
          <t>Panel klaim mirip</t>
        </is>
      </c>
      <c r="G19" s="9" t="inlineStr">
        <is>
          <t>Daftar klaim mirip dengan skor dan tautan ke Kartu Klaimnya</t>
        </is>
      </c>
      <c r="H19" s="11" t="inlineStr">
        <is>
          <t>Web</t>
        </is>
      </c>
      <c r="I19" s="18" t="n">
        <v>1</v>
      </c>
      <c r="J19" s="11" t="inlineStr">
        <is>
          <t>Hari 2</t>
        </is>
      </c>
      <c r="K19" s="9" t="inlineStr">
        <is>
          <t>T17, T20</t>
        </is>
      </c>
      <c r="L19" s="17" t="inlineStr">
        <is>
          <t>Belum mulai</t>
        </is>
      </c>
    </row>
    <row r="20">
      <c r="A20" s="11" t="inlineStr">
        <is>
          <t>T19</t>
        </is>
      </c>
      <c r="B20" s="11" t="inlineStr">
        <is>
          <t>M-06</t>
        </is>
      </c>
      <c r="C20" s="9">
        <f>INDEX(Modul!$B$2:$B$11,MATCH(B20,Modul!$A$2:$A$11,0))</f>
        <v/>
      </c>
      <c r="D20" s="11">
        <f>INDEX(Modul!$D$2:$D$11,MATCH(B20,Modul!$A$2:$A$11,0))</f>
        <v/>
      </c>
      <c r="E20" s="11" t="inlineStr">
        <is>
          <t>P1</t>
        </is>
      </c>
      <c r="F20" s="9" t="inlineStr">
        <is>
          <t>Sorotan kalimat identik</t>
        </is>
      </c>
      <c r="G20" s="9" t="inlineStr">
        <is>
          <t>Simpan rentang kalimat identik di citations, tampilkan berdampingan dengan sorotan</t>
        </is>
      </c>
      <c r="H20" s="11" t="inlineStr">
        <is>
          <t>Web</t>
        </is>
      </c>
      <c r="I20" s="18" t="n">
        <v>1.5</v>
      </c>
      <c r="J20" s="11" t="inlineStr">
        <is>
          <t>Hari 2</t>
        </is>
      </c>
      <c r="K20" s="9" t="inlineStr">
        <is>
          <t>T18</t>
        </is>
      </c>
      <c r="L20" s="17" t="inlineStr">
        <is>
          <t>Belum mulai</t>
        </is>
      </c>
    </row>
    <row r="21">
      <c r="A21" s="11" t="inlineStr">
        <is>
          <t>T20</t>
        </is>
      </c>
      <c r="B21" s="11" t="inlineStr">
        <is>
          <t>M-08</t>
        </is>
      </c>
      <c r="C21" s="9">
        <f>INDEX(Modul!$B$2:$B$11,MATCH(B21,Modul!$A$2:$A$11,0))</f>
        <v/>
      </c>
      <c r="D21" s="11">
        <f>INDEX(Modul!$D$2:$D$11,MATCH(B21,Modul!$A$2:$A$11,0))</f>
        <v/>
      </c>
      <c r="E21" s="11" t="inlineStr">
        <is>
          <t>P0</t>
        </is>
      </c>
      <c r="F21" s="9" t="inlineStr">
        <is>
          <t>Endpoint dan kerangka Kartu Klaim</t>
        </is>
      </c>
      <c r="G21" s="9" t="inlineStr">
        <is>
          <t>GET /claims/:id sesuai kontrak T02, halaman dengan header ringkasan, selisih, dan slot panel</t>
        </is>
      </c>
      <c r="H21" s="11" t="inlineStr">
        <is>
          <t>API + Web</t>
        </is>
      </c>
      <c r="I21" s="18" t="n">
        <v>2.5</v>
      </c>
      <c r="J21" s="11" t="inlineStr">
        <is>
          <t>Hari 1</t>
        </is>
      </c>
      <c r="K21" s="9" t="inlineStr">
        <is>
          <t>T02, T03, T04</t>
        </is>
      </c>
      <c r="L21" s="17" t="inlineStr">
        <is>
          <t>Belum mulai</t>
        </is>
      </c>
    </row>
    <row r="22">
      <c r="A22" s="11" t="inlineStr">
        <is>
          <t>T21</t>
        </is>
      </c>
      <c r="B22" s="11" t="inlineStr">
        <is>
          <t>M-07</t>
        </is>
      </c>
      <c r="C22" s="9">
        <f>INDEX(Modul!$B$2:$B$11,MATCH(B22,Modul!$A$2:$A$11,0))</f>
        <v/>
      </c>
      <c r="D22" s="11">
        <f>INDEX(Modul!$D$2:$D$11,MATCH(B22,Modul!$A$2:$A$11,0))</f>
        <v/>
      </c>
      <c r="E22" s="11" t="inlineStr">
        <is>
          <t>P0</t>
        </is>
      </c>
      <c r="F22" s="9" t="inlineStr">
        <is>
          <t>Skor dan orkestrasi analisis</t>
        </is>
      </c>
      <c r="G22" s="9" t="inlineStr">
        <is>
          <t>priority_score dari strength dan potential_gap; POST /analysis/run menjalankan ekstraksi lalu tiga uji</t>
        </is>
      </c>
      <c r="H22" s="11" t="inlineStr">
        <is>
          <t>API</t>
        </is>
      </c>
      <c r="I22" s="18" t="n">
        <v>1.5</v>
      </c>
      <c r="J22" s="11" t="inlineStr">
        <is>
          <t>Hari 2</t>
        </is>
      </c>
      <c r="K22" s="9" t="inlineStr">
        <is>
          <t>T11, T13, T15, T17</t>
        </is>
      </c>
      <c r="L22" s="17" t="inlineStr">
        <is>
          <t>Belum mulai</t>
        </is>
      </c>
    </row>
    <row r="23">
      <c r="A23" s="11" t="inlineStr">
        <is>
          <t>T22</t>
        </is>
      </c>
      <c r="B23" s="11" t="inlineStr">
        <is>
          <t>M-07</t>
        </is>
      </c>
      <c r="C23" s="9">
        <f>INDEX(Modul!$B$2:$B$11,MATCH(B23,Modul!$A$2:$A$11,0))</f>
        <v/>
      </c>
      <c r="D23" s="11">
        <f>INDEX(Modul!$D$2:$D$11,MATCH(B23,Modul!$A$2:$A$11,0))</f>
        <v/>
      </c>
      <c r="E23" s="11" t="inlineStr">
        <is>
          <t>P0</t>
        </is>
      </c>
      <c r="F23" s="9" t="inlineStr">
        <is>
          <t>Endpoint antrean</t>
        </is>
      </c>
      <c r="G23" s="9" t="inlineStr">
        <is>
          <t>GET /claims urut priority_score, filter status</t>
        </is>
      </c>
      <c r="H23" s="11" t="inlineStr">
        <is>
          <t>API</t>
        </is>
      </c>
      <c r="I23" s="18" t="n">
        <v>0.5</v>
      </c>
      <c r="J23" s="11" t="inlineStr">
        <is>
          <t>Hari 2</t>
        </is>
      </c>
      <c r="K23" s="9" t="inlineStr">
        <is>
          <t>T21</t>
        </is>
      </c>
      <c r="L23" s="17" t="inlineStr">
        <is>
          <t>Belum mulai</t>
        </is>
      </c>
    </row>
    <row r="24">
      <c r="A24" s="11" t="inlineStr">
        <is>
          <t>T23</t>
        </is>
      </c>
      <c r="B24" s="11" t="inlineStr">
        <is>
          <t>M-07</t>
        </is>
      </c>
      <c r="C24" s="9">
        <f>INDEX(Modul!$B$2:$B$11,MATCH(B24,Modul!$A$2:$A$11,0))</f>
        <v/>
      </c>
      <c r="D24" s="11">
        <f>INDEX(Modul!$D$2:$D$11,MATCH(B24,Modul!$A$2:$A$11,0))</f>
        <v/>
      </c>
      <c r="E24" s="11" t="inlineStr">
        <is>
          <t>P0</t>
        </is>
      </c>
      <c r="F24" s="9" t="inlineStr">
        <is>
          <t>Halaman antrean</t>
        </is>
      </c>
      <c r="G24" s="9" t="inlineStr">
        <is>
          <t>Tabel, label perlu klarifikasi, badge per uji, selisih rupiah, Skeleton, empty state, error</t>
        </is>
      </c>
      <c r="H24" s="11" t="inlineStr">
        <is>
          <t>Web</t>
        </is>
      </c>
      <c r="I24" s="18" t="n">
        <v>2.5</v>
      </c>
      <c r="J24" s="11" t="inlineStr">
        <is>
          <t>Hari 2</t>
        </is>
      </c>
      <c r="K24" s="9" t="inlineStr">
        <is>
          <t>T04, T22</t>
        </is>
      </c>
      <c r="L24" s="17" t="inlineStr">
        <is>
          <t>Belum mulai</t>
        </is>
      </c>
    </row>
    <row r="25">
      <c r="A25" s="11" t="inlineStr">
        <is>
          <t>T24</t>
        </is>
      </c>
      <c r="B25" s="11" t="inlineStr">
        <is>
          <t>M-02</t>
        </is>
      </c>
      <c r="C25" s="9">
        <f>INDEX(Modul!$B$2:$B$11,MATCH(B25,Modul!$A$2:$A$11,0))</f>
        <v/>
      </c>
      <c r="D25" s="11">
        <f>INDEX(Modul!$D$2:$D$11,MATCH(B25,Modul!$A$2:$A$11,0))</f>
        <v/>
      </c>
      <c r="E25" s="11" t="inlineStr">
        <is>
          <t>P0</t>
        </is>
      </c>
      <c r="F25" s="9" t="inlineStr">
        <is>
          <t>Script metrik</t>
        </is>
      </c>
      <c r="G25" s="9" t="inlineStr">
        <is>
          <t>Presisi, recall, dan total selisih dari injected_case vs findings</t>
        </is>
      </c>
      <c r="H25" s="11" t="inlineStr">
        <is>
          <t>Data</t>
        </is>
      </c>
      <c r="I25" s="18" t="n">
        <v>0.5</v>
      </c>
      <c r="J25" s="11" t="inlineStr">
        <is>
          <t>Hari 2</t>
        </is>
      </c>
      <c r="K25" s="9" t="inlineStr">
        <is>
          <t>T21</t>
        </is>
      </c>
      <c r="L25" s="17" t="inlineStr">
        <is>
          <t>Belum mulai</t>
        </is>
      </c>
    </row>
    <row r="26">
      <c r="A26" s="11" t="inlineStr">
        <is>
          <t>T25</t>
        </is>
      </c>
      <c r="B26" s="11" t="inlineStr">
        <is>
          <t>M-09</t>
        </is>
      </c>
      <c r="C26" s="9">
        <f>INDEX(Modul!$B$2:$B$11,MATCH(B26,Modul!$A$2:$A$11,0))</f>
        <v/>
      </c>
      <c r="D26" s="11">
        <f>INDEX(Modul!$D$2:$D$11,MATCH(B26,Modul!$A$2:$A$11,0))</f>
        <v/>
      </c>
      <c r="E26" s="11" t="inlineStr">
        <is>
          <t>P1</t>
        </is>
      </c>
      <c r="F26" s="9" t="inlineStr">
        <is>
          <t>Keputusan verifikator</t>
        </is>
      </c>
      <c r="G26" s="9" t="inlineStr">
        <is>
          <t>POST /claims/:id/decisions dengan validasi DTO dan update status; panel tiga tombol dan alasan</t>
        </is>
      </c>
      <c r="H26" s="11" t="inlineStr">
        <is>
          <t>API + Web</t>
        </is>
      </c>
      <c r="I26" s="18" t="n">
        <v>1.5</v>
      </c>
      <c r="J26" s="11" t="inlineStr">
        <is>
          <t>Hari 2</t>
        </is>
      </c>
      <c r="K26" s="9" t="inlineStr">
        <is>
          <t>T20</t>
        </is>
      </c>
      <c r="L26" s="17" t="inlineStr">
        <is>
          <t>Belum mulai</t>
        </is>
      </c>
    </row>
    <row r="27">
      <c r="A27" s="11" t="inlineStr">
        <is>
          <t>T26</t>
        </is>
      </c>
      <c r="B27" s="11" t="inlineStr">
        <is>
          <t>M-10</t>
        </is>
      </c>
      <c r="C27" s="9">
        <f>INDEX(Modul!$B$2:$B$11,MATCH(B27,Modul!$A$2:$A$11,0))</f>
        <v/>
      </c>
      <c r="D27" s="11">
        <f>INDEX(Modul!$D$2:$D$11,MATCH(B27,Modul!$A$2:$A$11,0))</f>
        <v/>
      </c>
      <c r="E27" s="11" t="inlineStr">
        <is>
          <t>P1</t>
        </is>
      </c>
      <c r="F27" s="9" t="inlineStr">
        <is>
          <t>Ringkasan faskes</t>
        </is>
      </c>
      <c r="G27" s="9" t="inlineStr">
        <is>
          <t>Endpoint agregat per faskes dan halaman ringkasan</t>
        </is>
      </c>
      <c r="H27" s="11" t="inlineStr">
        <is>
          <t>API + Web</t>
        </is>
      </c>
      <c r="I27" s="18" t="n">
        <v>2</v>
      </c>
      <c r="J27" s="11" t="inlineStr">
        <is>
          <t>Hari 2</t>
        </is>
      </c>
      <c r="K27" s="9" t="inlineStr">
        <is>
          <t>T21</t>
        </is>
      </c>
      <c r="L27" s="17" t="inlineStr">
        <is>
          <t>Belum mulai</t>
        </is>
      </c>
    </row>
  </sheetData>
  <autoFilter ref="A1:L27"/>
  <conditionalFormatting sqref="A2:L27">
    <cfRule type="expression" priority="1" dxfId="0">
      <formula>$L2="Selesai"</formula>
    </cfRule>
    <cfRule type="expression" priority="2" dxfId="1">
      <formula>$L2="Terblokir"</formula>
    </cfRule>
  </conditionalFormatting>
  <dataValidations count="5">
    <dataValidation sqref="L2:L77" showDropDown="0" showInputMessage="0" showErrorMessage="0" allowBlank="1" type="list">
      <formula1>"Belum mulai,Dikerjakan,Selesai,Terblokir"</formula1>
    </dataValidation>
    <dataValidation sqref="J2:J77" showDropDown="0" showInputMessage="0" showErrorMessage="0" allowBlank="1" type="list">
      <formula1>"Hari 1,Hari 2"</formula1>
    </dataValidation>
    <dataValidation sqref="H2:H77" showDropDown="0" showInputMessage="0" showErrorMessage="0" allowBlank="1" type="list">
      <formula1>"Kontrak,Database,API,Web,API + Web,LLM,Data"</formula1>
    </dataValidation>
    <dataValidation sqref="E2:E77" showDropDown="0" showInputMessage="0" showErrorMessage="0" allowBlank="1" type="list">
      <formula1>"P0,P1"</formula1>
    </dataValidation>
    <dataValidation sqref="B2:B77" showDropDown="0" showInputMessage="0" showErrorMessage="0" allowBlank="0" type="list">
      <formula1>=Modul!$A$2:$A$11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2026-10-01T09:16:17Z</dcterms:created>
  <dcterms:modified xsi:type="dcterms:W3CDTF">2026-10-01T09:16:17Z</dcterms:modified>
</cp:coreProperties>
</file>